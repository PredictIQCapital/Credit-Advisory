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Stuetzstellen" sheetId="2" state="visible" r:id="rId2"/>
    <sheet name="Eingaben" sheetId="3" state="visible" r:id="rId3"/>
    <sheet name="Kennzahlen" sheetId="4" state="visible" r:id="rId4"/>
    <sheet name="Scorecard" sheetId="5" state="visible" r:id="rId5"/>
    <sheet name="Abgleich" sheetId="6" state="visible" r:id="rId6"/>
    <sheet name="Testprotokoll" sheetId="7" state="visible" r:id="rId7"/>
  </sheets>
  <definedNames>
    <definedName name="bpx_eigenkapitalquote">Stuetzstellen!$A$6:$A$13</definedName>
    <definedName name="bpy_eigenkapitalquote">Stuetzstellen!$B$6:$B$13</definedName>
    <definedName name="bpx_kapitaldienstfaehigkeit_inkl_neu">Stuetzstellen!$A$17:$A$24</definedName>
    <definedName name="bpy_kapitaldienstfaehigkeit_inkl_neu">Stuetzstellen!$B$17:$B$24</definedName>
    <definedName name="bpx_dynamischer_verschuldungsgrad">Stuetzstellen!$A$28:$A$37</definedName>
    <definedName name="bpy_dynamischer_verschuldungsgrad">Stuetzstellen!$B$28:$B$37</definedName>
    <definedName name="bpx_ebit_marge">Stuetzstellen!$A$41:$A$49</definedName>
    <definedName name="bpy_ebit_marge">Stuetzstellen!$B$41:$B$49</definedName>
    <definedName name="bpx_liquiditaet_2_grades">Stuetzstellen!$A$53:$A$60</definedName>
    <definedName name="bpy_liquiditaet_2_grades">Stuetzstellen!$B$53:$B$60</definedName>
    <definedName name="bpx_zinsdeckungsgrad">Stuetzstellen!$A$64:$A$70</definedName>
    <definedName name="bpy_zinsdeckungsgrad">Stuetzstellen!$B$64:$B$70</definedName>
    <definedName name="bpx_kontokorrent_auslastung">Stuetzstellen!$A$74:$A$81</definedName>
    <definedName name="bpy_kontokorrent_auslastung">Stuetzstellen!$B$74:$B$81</definedName>
    <definedName name="bpx_bwa_age_months">Stuetzstellen!$A$85:$A$91</definedName>
    <definedName name="bpy_bwa_age_months">Stuetzstellen!$B$85:$B$91</definedName>
    <definedName name="bpx_creditreform_bonitaetsindex">Stuetzstellen!$A$95:$A$103</definedName>
    <definedName name="bpy_creditreform_bonitaetsindex">Stuetzstellen!$B$95:$B$103</definedName>
    <definedName name="bpx_zahlungsverhalten">Stuetzstellen!$A$107:$A$108</definedName>
    <definedName name="bpy_zahlungsverhalten">Stuetzstellen!$B$107:$B$108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0D2440"/>
      <sz val="14"/>
    </font>
    <font>
      <b val="1"/>
      <color rgb="000B8F73"/>
    </font>
    <font>
      <color rgb="005B6B7C"/>
      <sz val="9"/>
    </font>
    <font>
      <b val="1"/>
    </font>
    <font>
      <b val="1"/>
      <color rgb="000D244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D2440"/>
      </patternFill>
    </fill>
    <fill>
      <patternFill patternType="solid">
        <fgColor rgb="00F4F7FA"/>
      </patternFill>
    </fill>
    <fill>
      <patternFill patternType="solid">
        <fgColor rgb="00E2F4EE"/>
      </patternFill>
    </fill>
  </fills>
  <borders count="2">
    <border>
      <left/>
      <right/>
      <top/>
      <bottom/>
      <diagonal/>
    </border>
    <border>
      <bottom style="thin">
        <color rgb="00D8E0E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  <xf numFmtId="0" fontId="5" fillId="3" borderId="0" pivotButton="0" quotePrefix="0" xfId="0"/>
    <xf numFmtId="0" fontId="3" fillId="3" borderId="0" pivotButton="0" quotePrefix="0" xfId="0"/>
    <xf numFmtId="0" fontId="0" fillId="3" borderId="0" pivotButton="0" quotePrefix="0" xfId="0"/>
    <xf numFmtId="3" fontId="0" fillId="4" borderId="0" pivotButton="0" quotePrefix="0" xfId="0"/>
    <xf numFmtId="3" fontId="0" fillId="0" borderId="0" pivotButton="0" quotePrefix="0" xfId="0"/>
    <xf numFmtId="1" fontId="0" fillId="4" borderId="0" pivotButton="0" quotePrefix="0" xfId="0"/>
    <xf numFmtId="1" fontId="0" fillId="0" borderId="0" pivotButton="0" quotePrefix="0" xfId="0"/>
    <xf numFmtId="164" fontId="0" fillId="4" borderId="0" pivotButton="0" quotePrefix="0" xfId="0"/>
    <xf numFmtId="165" fontId="0" fillId="0" borderId="0" pivotButton="0" quotePrefix="0" xfId="0"/>
    <xf numFmtId="9" fontId="0" fillId="0" borderId="0" pivotButton="0" quotePrefix="0" xfId="0"/>
    <xf numFmtId="164" fontId="3" fillId="0" borderId="0" pivotButton="0" quotePrefix="0" xfId="0"/>
    <xf numFmtId="9" fontId="4" fillId="0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4" fillId="4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Scorecard-Pruefblatt</t>
        </is>
      </c>
    </row>
    <row r="2">
      <c r="A2" t="inlineStr"/>
    </row>
    <row r="3">
      <c r="A3" s="2" t="inlineStr">
        <is>
          <t>Wozu dieses Blatt / What this workbook is for</t>
        </is>
      </c>
    </row>
    <row r="4">
      <c r="A4" t="inlineStr">
        <is>
          <t>Es rechnet die Bewertung der Engine mit Excel-Formeln nach. Jede Zahl ist nachvollziehbar,</t>
        </is>
      </c>
    </row>
    <row r="5">
      <c r="A5" t="inlineStr">
        <is>
          <t>keine Zelle ist ein exportiertes Ergebnis. Wer die Engine pruefen will, prueft sie hier.</t>
        </is>
      </c>
    </row>
    <row r="6">
      <c r="A6" t="inlineStr"/>
    </row>
    <row r="7">
      <c r="A7" t="inlineStr">
        <is>
          <t>It reimplements the engine's scoring in live Excel formulas. Nothing is a pasted result.</t>
        </is>
      </c>
    </row>
    <row r="8">
      <c r="A8" t="inlineStr"/>
    </row>
    <row r="9">
      <c r="A9" s="2" t="inlineStr">
        <is>
          <t>So benutzen Sie es / How to use it</t>
        </is>
      </c>
    </row>
    <row r="10">
      <c r="A10" t="inlineStr">
        <is>
          <t>1. Blatt 'Eingaben': Spalte C ist Ihr eigener Fall. Ueberschreiben Sie die Werte.</t>
        </is>
      </c>
    </row>
    <row r="11">
      <c r="A11" t="inlineStr">
        <is>
          <t xml:space="preserve">   Spalten D bis I sind die Musterfaelle und sollten unveraendert bleiben.</t>
        </is>
      </c>
    </row>
    <row r="12">
      <c r="A12" t="inlineStr">
        <is>
          <t>2. Blatt 'Kennzahlen': alle Zwischengroessen und Kennzahlen, Formel fuer Formel.</t>
        </is>
      </c>
    </row>
    <row r="13">
      <c r="A13" t="inlineStr">
        <is>
          <t>3. Blatt 'Scorecard': die zehn Faktoren, ihre Punkte, Gewichte, der Gesamtscore und das Band.</t>
        </is>
      </c>
    </row>
    <row r="14">
      <c r="A14" t="inlineStr">
        <is>
          <t>4. Blatt 'Abgleich': Excel gegen Engine, Faktor fuer Faktor, fuer jeden Musterfall.</t>
        </is>
      </c>
    </row>
    <row r="15">
      <c r="A15" t="inlineStr">
        <is>
          <t xml:space="preserve">   Dort muss ueberall 'OK' stehen. Steht dort eine Abweichung, ist eine der beiden Seiten falsch.</t>
        </is>
      </c>
    </row>
    <row r="16">
      <c r="A16" t="inlineStr">
        <is>
          <t>5. Blatt 'Stuetzstellen': die Schwellenwerte je Faktor und die Bandgrenzen.</t>
        </is>
      </c>
    </row>
    <row r="17">
      <c r="A17" t="inlineStr"/>
    </row>
    <row r="18">
      <c r="A18" s="2" t="inlineStr">
        <is>
          <t>Was das Ergebnis NICHT ist / What the result is not</t>
        </is>
      </c>
    </row>
    <row r="19">
      <c r="A19" t="inlineStr">
        <is>
          <t>Ein Readiness-Band ist eine richtungsweisende Einschaetzung, kein Rating und keine</t>
        </is>
      </c>
    </row>
    <row r="20">
      <c r="A20" t="inlineStr">
        <is>
          <t>Ausfallwahrscheinlichkeit. Die Kreditentscheidung trifft allein der Kreditgeber.</t>
        </is>
      </c>
    </row>
    <row r="21">
      <c r="A21" t="inlineStr"/>
    </row>
    <row r="22">
      <c r="A22" s="2" t="inlineStr">
        <is>
          <t>Pruefreihenfolge, wenn Sie einen Fall testen / Order to check a case</t>
        </is>
      </c>
    </row>
    <row r="23">
      <c r="A23" t="inlineStr">
        <is>
          <t>a) Bilanzprobe und Ergebnisabgleich auf 'Kennzahlen' muessen 'OK' zeigen -- sonst</t>
        </is>
      </c>
    </row>
    <row r="24">
      <c r="A24" t="inlineStr">
        <is>
          <t xml:space="preserve">   verweigert die Engine die Auswertung, und zwar absichtlich.</t>
        </is>
      </c>
    </row>
    <row r="25">
      <c r="A25" t="inlineStr">
        <is>
          <t>b) Kennzahlen mit dem Bericht der Engine vergleichen.</t>
        </is>
      </c>
    </row>
    <row r="26">
      <c r="A26" t="inlineStr">
        <is>
          <t>c) Punkte je Faktor vergleichen. Die groesste Abweichung zeigt, wo zu suchen ist.</t>
        </is>
      </c>
    </row>
    <row r="27">
      <c r="A27" t="inlineStr">
        <is>
          <t>d) Gesamtscore und Band vergleichen.</t>
        </is>
      </c>
    </row>
    <row r="28">
      <c r="A28" t="inlineStr"/>
    </row>
    <row r="29">
      <c r="A29" t="inlineStr">
        <is>
          <t>Erzeugt aus dem Quellcode: scripts/build_scorecard_workbook.py</t>
        </is>
      </c>
    </row>
    <row r="30">
      <c r="A30" t="inlineStr">
        <is>
          <t>Bei jeder Aenderung an scorecard.py oder ratios.py neu erzeugen.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6" customWidth="1" min="3" max="3"/>
    <col width="60" customWidth="1" min="4" max="4"/>
  </cols>
  <sheetData>
    <row r="1">
      <c r="A1" s="1" t="inlineStr">
        <is>
          <t>Stuetzstellen der Faktoren / factor breakpoints</t>
        </is>
      </c>
    </row>
    <row r="2">
      <c r="A2" s="3" t="inlineStr">
        <is>
          <t>Zwischen den Punkten wird linear interpoliert, ausserhalb wird gekappt.</t>
        </is>
      </c>
    </row>
    <row r="4">
      <c r="A4" s="4" t="inlineStr">
        <is>
          <t>Eigenkapitalquote (wirtschaftlich)</t>
        </is>
      </c>
      <c r="C4" s="3" t="inlineStr">
        <is>
          <t>Gewicht 20%</t>
        </is>
      </c>
      <c r="D4" s="3" t="inlineStr">
        <is>
          <t>Wirtschaftliches EK inkl. nachrangiger Gesellschafterdarlehen. Stuetzstellen 14,8/35,1/56,9% = Quartile der Bundesbank-Statistik.</t>
        </is>
      </c>
    </row>
    <row r="5">
      <c r="A5" s="3" t="inlineStr">
        <is>
          <t>Wert</t>
        </is>
      </c>
      <c r="B5" s="3" t="inlineStr">
        <is>
          <t>Punkte</t>
        </is>
      </c>
    </row>
    <row r="6">
      <c r="A6" s="5" t="n">
        <v>-0.2</v>
      </c>
      <c r="B6" s="6" t="n">
        <v>0</v>
      </c>
    </row>
    <row r="7">
      <c r="A7" s="5" t="n">
        <v>0</v>
      </c>
      <c r="B7" s="6" t="n">
        <v>25</v>
      </c>
    </row>
    <row r="8">
      <c r="A8" s="5" t="n">
        <v>0.05</v>
      </c>
      <c r="B8" s="6" t="n">
        <v>38</v>
      </c>
    </row>
    <row r="9">
      <c r="A9" s="5" t="n">
        <v>0.148</v>
      </c>
      <c r="B9" s="6" t="n">
        <v>58</v>
      </c>
    </row>
    <row r="10">
      <c r="A10" s="5" t="n">
        <v>0.351</v>
      </c>
      <c r="B10" s="6" t="n">
        <v>70</v>
      </c>
    </row>
    <row r="11">
      <c r="A11" s="5" t="n">
        <v>0.569</v>
      </c>
      <c r="B11" s="6" t="n">
        <v>82</v>
      </c>
    </row>
    <row r="12">
      <c r="A12" s="5" t="n">
        <v>0.8</v>
      </c>
      <c r="B12" s="6" t="n">
        <v>95</v>
      </c>
    </row>
    <row r="13">
      <c r="A13" s="5" t="n">
        <v>1</v>
      </c>
      <c r="B13" s="6" t="n">
        <v>100</v>
      </c>
    </row>
    <row r="15">
      <c r="A15" s="4" t="inlineStr">
        <is>
          <t>Kapitaldienstfaehigkeit inkl. neuer Finanzierung (DSCR)</t>
        </is>
      </c>
      <c r="C15" s="3" t="inlineStr">
        <is>
          <t>Gewicht 20%</t>
        </is>
      </c>
      <c r="D15" s="3" t="inlineStr">
        <is>
          <t>EBITDA / (Zins + Tilgung), inkl. des beantragten Engagements.</t>
        </is>
      </c>
    </row>
    <row r="16">
      <c r="A16" s="3" t="inlineStr">
        <is>
          <t>Wert</t>
        </is>
      </c>
      <c r="B16" s="3" t="inlineStr">
        <is>
          <t>Punkte</t>
        </is>
      </c>
    </row>
    <row r="17">
      <c r="A17" s="5" t="n">
        <v>0.7</v>
      </c>
      <c r="B17" s="6" t="n">
        <v>0</v>
      </c>
    </row>
    <row r="18">
      <c r="A18" s="5" t="n">
        <v>0.9</v>
      </c>
      <c r="B18" s="6" t="n">
        <v>12</v>
      </c>
    </row>
    <row r="19">
      <c r="A19" s="5" t="n">
        <v>1</v>
      </c>
      <c r="B19" s="6" t="n">
        <v>25</v>
      </c>
    </row>
    <row r="20">
      <c r="A20" s="5" t="n">
        <v>1.1</v>
      </c>
      <c r="B20" s="6" t="n">
        <v>42</v>
      </c>
    </row>
    <row r="21">
      <c r="A21" s="5" t="n">
        <v>1.2</v>
      </c>
      <c r="B21" s="6" t="n">
        <v>58</v>
      </c>
    </row>
    <row r="22">
      <c r="A22" s="5" t="n">
        <v>1.3</v>
      </c>
      <c r="B22" s="6" t="n">
        <v>72</v>
      </c>
    </row>
    <row r="23">
      <c r="A23" s="5" t="n">
        <v>1.5</v>
      </c>
      <c r="B23" s="6" t="n">
        <v>88</v>
      </c>
    </row>
    <row r="24">
      <c r="A24" s="5" t="n">
        <v>2</v>
      </c>
      <c r="B24" s="6" t="n">
        <v>100</v>
      </c>
    </row>
    <row r="26">
      <c r="A26" s="4" t="inlineStr">
        <is>
          <t>Dynamischer Verschuldungsgrad (Nettoverschuldung / EBITDA)</t>
        </is>
      </c>
      <c r="C26" s="3" t="inlineStr">
        <is>
          <t>Gewicht 15%</t>
        </is>
      </c>
      <c r="D26" s="3" t="inlineStr"/>
    </row>
    <row r="27">
      <c r="A27" s="3" t="inlineStr">
        <is>
          <t>Wert</t>
        </is>
      </c>
      <c r="B27" s="3" t="inlineStr">
        <is>
          <t>Punkte</t>
        </is>
      </c>
    </row>
    <row r="28">
      <c r="A28" s="5" t="n">
        <v>0</v>
      </c>
      <c r="B28" s="6" t="n">
        <v>100</v>
      </c>
    </row>
    <row r="29">
      <c r="A29" s="5" t="n">
        <v>1</v>
      </c>
      <c r="B29" s="6" t="n">
        <v>95</v>
      </c>
    </row>
    <row r="30">
      <c r="A30" s="5" t="n">
        <v>2</v>
      </c>
      <c r="B30" s="6" t="n">
        <v>88</v>
      </c>
    </row>
    <row r="31">
      <c r="A31" s="5" t="n">
        <v>3</v>
      </c>
      <c r="B31" s="6" t="n">
        <v>75</v>
      </c>
    </row>
    <row r="32">
      <c r="A32" s="5" t="n">
        <v>3.5</v>
      </c>
      <c r="B32" s="6" t="n">
        <v>65</v>
      </c>
    </row>
    <row r="33">
      <c r="A33" s="5" t="n">
        <v>4</v>
      </c>
      <c r="B33" s="6" t="n">
        <v>55</v>
      </c>
    </row>
    <row r="34">
      <c r="A34" s="5" t="n">
        <v>5</v>
      </c>
      <c r="B34" s="6" t="n">
        <v>38</v>
      </c>
    </row>
    <row r="35">
      <c r="A35" s="5" t="n">
        <v>6</v>
      </c>
      <c r="B35" s="6" t="n">
        <v>25</v>
      </c>
    </row>
    <row r="36">
      <c r="A36" s="5" t="n">
        <v>8</v>
      </c>
      <c r="B36" s="6" t="n">
        <v>10</v>
      </c>
    </row>
    <row r="37">
      <c r="A37" s="5" t="n">
        <v>12</v>
      </c>
      <c r="B37" s="6" t="n">
        <v>0</v>
      </c>
    </row>
    <row r="39">
      <c r="A39" s="4" t="inlineStr">
        <is>
          <t>EBIT-Marge</t>
        </is>
      </c>
      <c r="C39" s="3" t="inlineStr">
        <is>
          <t>Gewicht 12%</t>
        </is>
      </c>
      <c r="D39" s="3" t="inlineStr">
        <is>
          <t>Stuetzstellen 1,35/4,75/9,95% = Bundesbank-Quartile des Ergebnisses vor Steuern, um 0,5 Punkte auf EBIT-Basis angehoben.</t>
        </is>
      </c>
    </row>
    <row r="40">
      <c r="A40" s="3" t="inlineStr">
        <is>
          <t>Wert</t>
        </is>
      </c>
      <c r="B40" s="3" t="inlineStr">
        <is>
          <t>Punkte</t>
        </is>
      </c>
    </row>
    <row r="41">
      <c r="A41" s="5" t="n">
        <v>-0.1</v>
      </c>
      <c r="B41" s="6" t="n">
        <v>0</v>
      </c>
    </row>
    <row r="42">
      <c r="A42" s="5" t="n">
        <v>-0.05</v>
      </c>
      <c r="B42" s="6" t="n">
        <v>12</v>
      </c>
    </row>
    <row r="43">
      <c r="A43" s="5" t="n">
        <v>-0.02</v>
      </c>
      <c r="B43" s="6" t="n">
        <v>28</v>
      </c>
    </row>
    <row r="44">
      <c r="A44" s="5" t="n">
        <v>0</v>
      </c>
      <c r="B44" s="6" t="n">
        <v>45</v>
      </c>
    </row>
    <row r="45">
      <c r="A45" s="5" t="n">
        <v>0.0135</v>
      </c>
      <c r="B45" s="6" t="n">
        <v>58</v>
      </c>
    </row>
    <row r="46">
      <c r="A46" s="5" t="n">
        <v>0.0475</v>
      </c>
      <c r="B46" s="6" t="n">
        <v>70</v>
      </c>
    </row>
    <row r="47">
      <c r="A47" s="5" t="n">
        <v>0.09950000000000001</v>
      </c>
      <c r="B47" s="6" t="n">
        <v>82</v>
      </c>
    </row>
    <row r="48">
      <c r="A48" s="5" t="n">
        <v>0.18</v>
      </c>
      <c r="B48" s="6" t="n">
        <v>95</v>
      </c>
    </row>
    <row r="49">
      <c r="A49" s="5" t="n">
        <v>0.25</v>
      </c>
      <c r="B49" s="6" t="n">
        <v>100</v>
      </c>
    </row>
    <row r="51">
      <c r="A51" s="4" t="inlineStr">
        <is>
          <t>Liquiditaet 2. Grades</t>
        </is>
      </c>
      <c r="C51" s="3" t="inlineStr">
        <is>
          <t>Gewicht 8%</t>
        </is>
      </c>
      <c r="D51" s="3" t="inlineStr">
        <is>
          <t>Stuetzstellen 45,8/91,7/216,3% = Quartile der Bundesbank-Statistik.</t>
        </is>
      </c>
    </row>
    <row r="52">
      <c r="A52" s="3" t="inlineStr">
        <is>
          <t>Wert</t>
        </is>
      </c>
      <c r="B52" s="3" t="inlineStr">
        <is>
          <t>Punkte</t>
        </is>
      </c>
    </row>
    <row r="53">
      <c r="A53" s="5" t="n">
        <v>0</v>
      </c>
      <c r="B53" s="6" t="n">
        <v>0</v>
      </c>
    </row>
    <row r="54">
      <c r="A54" s="5" t="n">
        <v>0.2</v>
      </c>
      <c r="B54" s="6" t="n">
        <v>25</v>
      </c>
    </row>
    <row r="55">
      <c r="A55" s="5" t="n">
        <v>0.3</v>
      </c>
      <c r="B55" s="6" t="n">
        <v>40</v>
      </c>
    </row>
    <row r="56">
      <c r="A56" s="5" t="n">
        <v>0.458</v>
      </c>
      <c r="B56" s="6" t="n">
        <v>58</v>
      </c>
    </row>
    <row r="57">
      <c r="A57" s="5" t="n">
        <v>0.917</v>
      </c>
      <c r="B57" s="6" t="n">
        <v>70</v>
      </c>
    </row>
    <row r="58">
      <c r="A58" s="5" t="n">
        <v>2.163</v>
      </c>
      <c r="B58" s="6" t="n">
        <v>82</v>
      </c>
    </row>
    <row r="59">
      <c r="A59" s="5" t="n">
        <v>4</v>
      </c>
      <c r="B59" s="6" t="n">
        <v>95</v>
      </c>
    </row>
    <row r="60">
      <c r="A60" s="5" t="n">
        <v>6</v>
      </c>
      <c r="B60" s="6" t="n">
        <v>100</v>
      </c>
    </row>
    <row r="62">
      <c r="A62" s="4" t="inlineStr">
        <is>
          <t>Zinsdeckungsgrad (EBIT / Zinsaufwand)</t>
        </is>
      </c>
      <c r="C62" s="3" t="inlineStr">
        <is>
          <t>Gewicht 5%</t>
        </is>
      </c>
      <c r="D62" s="3" t="inlineStr"/>
    </row>
    <row r="63">
      <c r="A63" s="3" t="inlineStr">
        <is>
          <t>Wert</t>
        </is>
      </c>
      <c r="B63" s="3" t="inlineStr">
        <is>
          <t>Punkte</t>
        </is>
      </c>
    </row>
    <row r="64">
      <c r="A64" s="5" t="n">
        <v>0</v>
      </c>
      <c r="B64" s="6" t="n">
        <v>0</v>
      </c>
    </row>
    <row r="65">
      <c r="A65" s="5" t="n">
        <v>1</v>
      </c>
      <c r="B65" s="6" t="n">
        <v>20</v>
      </c>
    </row>
    <row r="66">
      <c r="A66" s="5" t="n">
        <v>1.5</v>
      </c>
      <c r="B66" s="6" t="n">
        <v>35</v>
      </c>
    </row>
    <row r="67">
      <c r="A67" s="5" t="n">
        <v>2</v>
      </c>
      <c r="B67" s="6" t="n">
        <v>50</v>
      </c>
    </row>
    <row r="68">
      <c r="A68" s="5" t="n">
        <v>3</v>
      </c>
      <c r="B68" s="6" t="n">
        <v>70</v>
      </c>
    </row>
    <row r="69">
      <c r="A69" s="5" t="n">
        <v>5</v>
      </c>
      <c r="B69" s="6" t="n">
        <v>88</v>
      </c>
    </row>
    <row r="70">
      <c r="A70" s="5" t="n">
        <v>8</v>
      </c>
      <c r="B70" s="6" t="n">
        <v>100</v>
      </c>
    </row>
    <row r="72">
      <c r="A72" s="4" t="inlineStr">
        <is>
          <t>Kontokorrent-Auslastung</t>
        </is>
      </c>
      <c r="C72" s="3" t="inlineStr">
        <is>
          <t>Gewicht 6%</t>
        </is>
      </c>
      <c r="D72" s="3" t="inlineStr">
        <is>
          <t>Dauerhafte Ausschoepfung &gt;80% gilt als klassisches Warnsignal.</t>
        </is>
      </c>
    </row>
    <row r="73">
      <c r="A73" s="3" t="inlineStr">
        <is>
          <t>Wert</t>
        </is>
      </c>
      <c r="B73" s="3" t="inlineStr">
        <is>
          <t>Punkte</t>
        </is>
      </c>
    </row>
    <row r="74">
      <c r="A74" s="5" t="n">
        <v>0</v>
      </c>
      <c r="B74" s="6" t="n">
        <v>100</v>
      </c>
    </row>
    <row r="75">
      <c r="A75" s="5" t="n">
        <v>0.3</v>
      </c>
      <c r="B75" s="6" t="n">
        <v>92</v>
      </c>
    </row>
    <row r="76">
      <c r="A76" s="5" t="n">
        <v>0.5</v>
      </c>
      <c r="B76" s="6" t="n">
        <v>80</v>
      </c>
    </row>
    <row r="77">
      <c r="A77" s="5" t="n">
        <v>0.7</v>
      </c>
      <c r="B77" s="6" t="n">
        <v>62</v>
      </c>
    </row>
    <row r="78">
      <c r="A78" s="5" t="n">
        <v>0.8</v>
      </c>
      <c r="B78" s="6" t="n">
        <v>45</v>
      </c>
    </row>
    <row r="79">
      <c r="A79" s="5" t="n">
        <v>0.9</v>
      </c>
      <c r="B79" s="6" t="n">
        <v>28</v>
      </c>
    </row>
    <row r="80">
      <c r="A80" s="5" t="n">
        <v>1</v>
      </c>
      <c r="B80" s="6" t="n">
        <v>10</v>
      </c>
    </row>
    <row r="81">
      <c r="A81" s="5" t="n">
        <v>1.1</v>
      </c>
      <c r="B81" s="6" t="n">
        <v>0</v>
      </c>
    </row>
    <row r="83">
      <c r="A83" s="4" t="inlineStr">
        <is>
          <t>Aktualitaet der BWA</t>
        </is>
      </c>
      <c r="C83" s="3" t="inlineStr">
        <is>
          <t>Gewicht 5%</t>
        </is>
      </c>
      <c r="D83" s="3" t="inlineStr"/>
    </row>
    <row r="84">
      <c r="A84" s="3" t="inlineStr">
        <is>
          <t>Wert</t>
        </is>
      </c>
      <c r="B84" s="3" t="inlineStr">
        <is>
          <t>Punkte</t>
        </is>
      </c>
    </row>
    <row r="85">
      <c r="A85" s="5" t="n">
        <v>1</v>
      </c>
      <c r="B85" s="6" t="n">
        <v>100</v>
      </c>
    </row>
    <row r="86">
      <c r="A86" s="5" t="n">
        <v>2</v>
      </c>
      <c r="B86" s="6" t="n">
        <v>90</v>
      </c>
    </row>
    <row r="87">
      <c r="A87" s="5" t="n">
        <v>3</v>
      </c>
      <c r="B87" s="6" t="n">
        <v>72</v>
      </c>
    </row>
    <row r="88">
      <c r="A88" s="5" t="n">
        <v>4</v>
      </c>
      <c r="B88" s="6" t="n">
        <v>55</v>
      </c>
    </row>
    <row r="89">
      <c r="A89" s="5" t="n">
        <v>6</v>
      </c>
      <c r="B89" s="6" t="n">
        <v>32</v>
      </c>
    </row>
    <row r="90">
      <c r="A90" s="5" t="n">
        <v>9</v>
      </c>
      <c r="B90" s="6" t="n">
        <v>12</v>
      </c>
    </row>
    <row r="91">
      <c r="A91" s="5" t="n">
        <v>12</v>
      </c>
      <c r="B91" s="6" t="n">
        <v>0</v>
      </c>
    </row>
    <row r="93">
      <c r="A93" s="4" t="inlineStr">
        <is>
          <t>Creditreform Bonitaetsindex</t>
        </is>
      </c>
      <c r="C93" s="3" t="inlineStr">
        <is>
          <t>Gewicht 5%</t>
        </is>
      </c>
      <c r="D93" s="3" t="inlineStr"/>
    </row>
    <row r="94">
      <c r="A94" s="3" t="inlineStr">
        <is>
          <t>Wert</t>
        </is>
      </c>
      <c r="B94" s="3" t="inlineStr">
        <is>
          <t>Punkte</t>
        </is>
      </c>
    </row>
    <row r="95">
      <c r="A95" s="5" t="n">
        <v>100</v>
      </c>
      <c r="B95" s="6" t="n">
        <v>100</v>
      </c>
    </row>
    <row r="96">
      <c r="A96" s="5" t="n">
        <v>150</v>
      </c>
      <c r="B96" s="6" t="n">
        <v>95</v>
      </c>
    </row>
    <row r="97">
      <c r="A97" s="5" t="n">
        <v>200</v>
      </c>
      <c r="B97" s="6" t="n">
        <v>85</v>
      </c>
    </row>
    <row r="98">
      <c r="A98" s="5" t="n">
        <v>250</v>
      </c>
      <c r="B98" s="6" t="n">
        <v>72</v>
      </c>
    </row>
    <row r="99">
      <c r="A99" s="5" t="n">
        <v>300</v>
      </c>
      <c r="B99" s="6" t="n">
        <v>55</v>
      </c>
    </row>
    <row r="100">
      <c r="A100" s="5" t="n">
        <v>350</v>
      </c>
      <c r="B100" s="6" t="n">
        <v>35</v>
      </c>
    </row>
    <row r="101">
      <c r="A101" s="5" t="n">
        <v>400</v>
      </c>
      <c r="B101" s="6" t="n">
        <v>18</v>
      </c>
    </row>
    <row r="102">
      <c r="A102" s="5" t="n">
        <v>500</v>
      </c>
      <c r="B102" s="6" t="n">
        <v>5</v>
      </c>
    </row>
    <row r="103">
      <c r="A103" s="5" t="n">
        <v>600</v>
      </c>
      <c r="B103" s="6" t="n">
        <v>0</v>
      </c>
    </row>
    <row r="105">
      <c r="A105" s="4" t="inlineStr">
        <is>
          <t>Zahlungsverhalten</t>
        </is>
      </c>
      <c r="C105" s="3" t="inlineStr">
        <is>
          <t>Gewicht 4%</t>
        </is>
      </c>
      <c r="D105" s="3" t="inlineStr">
        <is>
          <t>Aggregat aus Zahlungsverzug, Ruecklastschriften, Steuerrueckstaenden.</t>
        </is>
      </c>
    </row>
    <row r="106">
      <c r="A106" s="3" t="inlineStr">
        <is>
          <t>Wert</t>
        </is>
      </c>
      <c r="B106" s="3" t="inlineStr">
        <is>
          <t>Punkte</t>
        </is>
      </c>
    </row>
    <row r="107">
      <c r="A107" s="5" t="n">
        <v>0</v>
      </c>
      <c r="B107" s="6" t="n">
        <v>0</v>
      </c>
    </row>
    <row r="108">
      <c r="A108" s="5" t="n">
        <v>100</v>
      </c>
      <c r="B108" s="6" t="n">
        <v>100</v>
      </c>
    </row>
    <row r="110">
      <c r="A110" s="7" t="inlineStr">
        <is>
          <t>Bandgrenzen / band thresholds</t>
        </is>
      </c>
    </row>
    <row r="111">
      <c r="A111" t="inlineStr">
        <is>
          <t>Score &gt;= 78</t>
        </is>
      </c>
      <c r="B111" s="4" t="inlineStr">
        <is>
          <t>A</t>
        </is>
      </c>
      <c r="C111" s="3" t="inlineStr">
        <is>
          <t>Voraussichtlich zu Standardkonditionen finanzierbar</t>
        </is>
      </c>
    </row>
    <row r="112">
      <c r="A112" t="inlineStr">
        <is>
          <t>Score &gt;= 65</t>
        </is>
      </c>
      <c r="B112" s="4" t="inlineStr">
        <is>
          <t>B</t>
        </is>
      </c>
      <c r="C112" s="3" t="inlineStr">
        <is>
          <t>Finanzierbar; Konditionen wahrscheinlich verbesserbar</t>
        </is>
      </c>
    </row>
    <row r="113">
      <c r="A113" t="inlineStr">
        <is>
          <t>Score &gt;= 52</t>
        </is>
      </c>
      <c r="B113" s="4" t="inlineStr">
        <is>
          <t>C</t>
        </is>
      </c>
      <c r="C113" s="3" t="inlineStr">
        <is>
          <t>Grenzfall - typische Ablehnungs- und Fehlbepreisungszone</t>
        </is>
      </c>
    </row>
    <row r="114">
      <c r="A114" t="inlineStr">
        <is>
          <t>Score &gt;= 38</t>
        </is>
      </c>
      <c r="B114" s="4" t="inlineStr">
        <is>
          <t>D</t>
        </is>
      </c>
      <c r="C114" s="3" t="inlineStr">
        <is>
          <t>Ablehnung wahrscheinlich ohne Restrukturierung oder Buergschaft</t>
        </is>
      </c>
    </row>
    <row r="115">
      <c r="A115" t="inlineStr">
        <is>
          <t>Score &gt;= 0</t>
        </is>
      </c>
      <c r="B115" s="4" t="inlineStr">
        <is>
          <t>E</t>
        </is>
      </c>
      <c r="C115" s="3" t="inlineStr">
        <is>
          <t>Substanzielle Bonitaetsschwaeche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Eingaben / inputs</t>
        </is>
      </c>
    </row>
    <row r="2">
      <c r="A2" s="3" t="inlineStr">
        <is>
          <t>Spalte C ueberschreiben. Musterfaelle nicht aendern -- der Abgleich haengt daran.</t>
        </is>
      </c>
    </row>
    <row r="4" ht="30" customHeight="1">
      <c r="A4" s="8" t="inlineStr">
        <is>
          <t>Position</t>
        </is>
      </c>
      <c r="B4" s="8" t="inlineStr">
        <is>
          <t>Hinweis / note</t>
        </is>
      </c>
      <c r="C4" s="8" t="inlineStr">
        <is>
          <t>Ihr Fall</t>
        </is>
      </c>
      <c r="D4" s="8" t="inlineStr">
        <is>
          <t>Mueller Praezisionstechnik GmbH</t>
        </is>
      </c>
      <c r="E4" s="8" t="inlineStr">
        <is>
          <t>Nordlicht Handel GmbH &amp; Co. KG</t>
        </is>
      </c>
      <c r="F4" s="8" t="inlineStr">
        <is>
          <t>Gastro Rheinblick GmbH</t>
        </is>
      </c>
      <c r="G4" s="8" t="inlineStr">
        <is>
          <t>Datenwerk Consulting GmbH</t>
        </is>
      </c>
      <c r="H4" s="8" t="inlineStr">
        <is>
          <t>Ihrig Sanitaer- und Heizungstechnik GmbH</t>
        </is>
      </c>
      <c r="I4" s="8" t="inlineStr">
        <is>
          <t>Hoffmann Medizintechnik GmbH</t>
        </is>
      </c>
    </row>
    <row r="5">
      <c r="A5" s="9" t="inlineStr">
        <is>
          <t>AKTIVA (Bilanz, HGB §266)</t>
        </is>
      </c>
      <c r="B5" s="10" t="inlineStr">
        <is>
          <t>Assets</t>
        </is>
      </c>
      <c r="C5" s="11" t="n"/>
      <c r="D5" s="11" t="n"/>
      <c r="E5" s="11" t="n"/>
      <c r="F5" s="11" t="n"/>
      <c r="G5" s="11" t="n"/>
      <c r="H5" s="11" t="n"/>
      <c r="I5" s="11" t="n"/>
    </row>
    <row r="6">
      <c r="A6" t="inlineStr">
        <is>
          <t>Immaterielle Vermoegensgegenstaende</t>
        </is>
      </c>
      <c r="B6" s="3" t="inlineStr">
        <is>
          <t>Intangibles incl. goodwill</t>
        </is>
      </c>
      <c r="C6" s="12" t="n">
        <v>60000</v>
      </c>
      <c r="D6" s="13" t="n">
        <v>60000</v>
      </c>
      <c r="E6" s="13" t="n">
        <v>0</v>
      </c>
      <c r="F6" s="13" t="n">
        <v>180000</v>
      </c>
      <c r="G6" s="13" t="n">
        <v>95000</v>
      </c>
      <c r="H6" s="13" t="n">
        <v>0</v>
      </c>
      <c r="I6" s="13" t="n">
        <v>140000</v>
      </c>
    </row>
    <row r="7">
      <c r="A7" t="inlineStr">
        <is>
          <t>Sachanlagen</t>
        </is>
      </c>
      <c r="B7" s="3" t="inlineStr">
        <is>
          <t>Tangible fixed assets</t>
        </is>
      </c>
      <c r="C7" s="12" t="n">
        <v>2100000</v>
      </c>
      <c r="D7" s="13" t="n">
        <v>2100000</v>
      </c>
      <c r="E7" s="13" t="n">
        <v>420000</v>
      </c>
      <c r="F7" s="13" t="n">
        <v>1450000</v>
      </c>
      <c r="G7" s="13" t="n">
        <v>210000</v>
      </c>
      <c r="H7" s="13" t="n">
        <v>1000000</v>
      </c>
      <c r="I7" s="13" t="n">
        <v>3200000</v>
      </c>
    </row>
    <row r="8">
      <c r="A8" t="inlineStr">
        <is>
          <t>Finanzanlagen</t>
        </is>
      </c>
      <c r="B8" s="3" t="inlineStr">
        <is>
          <t>Financial assets</t>
        </is>
      </c>
      <c r="C8" s="12" t="n">
        <v>0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260000</v>
      </c>
    </row>
    <row r="9">
      <c r="A9" t="inlineStr">
        <is>
          <t>Vorraete</t>
        </is>
      </c>
      <c r="B9" s="3" t="inlineStr">
        <is>
          <t>Inventory</t>
        </is>
      </c>
      <c r="C9" s="12" t="n">
        <v>780000</v>
      </c>
      <c r="D9" s="13" t="n">
        <v>780000</v>
      </c>
      <c r="E9" s="13" t="n">
        <v>1850000</v>
      </c>
      <c r="F9" s="13" t="n">
        <v>85000</v>
      </c>
      <c r="G9" s="13" t="n">
        <v>0</v>
      </c>
      <c r="H9" s="13" t="n">
        <v>240000</v>
      </c>
      <c r="I9" s="13" t="n">
        <v>1180000</v>
      </c>
    </row>
    <row r="10">
      <c r="A10" t="inlineStr">
        <is>
          <t>Forderungen aus L+L</t>
        </is>
      </c>
      <c r="B10" s="3" t="inlineStr">
        <is>
          <t>Trade receivables</t>
        </is>
      </c>
      <c r="C10" s="12" t="n">
        <v>1150000</v>
      </c>
      <c r="D10" s="13" t="n">
        <v>1150000</v>
      </c>
      <c r="E10" s="13" t="n">
        <v>2240000</v>
      </c>
      <c r="F10" s="13" t="n">
        <v>45000</v>
      </c>
      <c r="G10" s="13" t="n">
        <v>1420000</v>
      </c>
      <c r="H10" s="13" t="n">
        <v>520000</v>
      </c>
      <c r="I10" s="13" t="n">
        <v>1340000</v>
      </c>
    </row>
    <row r="11">
      <c r="A11" t="inlineStr">
        <is>
          <t>Sonstige Vermoegensgegenstaende</t>
        </is>
      </c>
      <c r="B11" s="3" t="inlineStr">
        <is>
          <t>Other assets</t>
        </is>
      </c>
      <c r="C11" s="12" t="n">
        <v>90000</v>
      </c>
      <c r="D11" s="13" t="n">
        <v>90000</v>
      </c>
      <c r="E11" s="13" t="n">
        <v>70000</v>
      </c>
      <c r="F11" s="13" t="n">
        <v>0</v>
      </c>
      <c r="G11" s="13" t="n">
        <v>85000</v>
      </c>
      <c r="H11" s="13" t="n">
        <v>0</v>
      </c>
      <c r="I11" s="13" t="n">
        <v>0</v>
      </c>
    </row>
    <row r="12">
      <c r="A12" t="inlineStr">
        <is>
          <t>Wertpapiere</t>
        </is>
      </c>
      <c r="B12" s="3" t="inlineStr">
        <is>
          <t>Securities</t>
        </is>
      </c>
      <c r="C12" s="12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</row>
    <row r="13">
      <c r="A13" t="inlineStr">
        <is>
          <t>Liquide Mittel</t>
        </is>
      </c>
      <c r="B13" s="3" t="inlineStr">
        <is>
          <t>Cash and bank</t>
        </is>
      </c>
      <c r="C13" s="12" t="n">
        <v>180000</v>
      </c>
      <c r="D13" s="13" t="n">
        <v>180000</v>
      </c>
      <c r="E13" s="13" t="n">
        <v>60000</v>
      </c>
      <c r="F13" s="13" t="n">
        <v>22000</v>
      </c>
      <c r="G13" s="13" t="n">
        <v>640000</v>
      </c>
      <c r="H13" s="13" t="n">
        <v>310000</v>
      </c>
      <c r="I13" s="13" t="n">
        <v>1850000</v>
      </c>
    </row>
    <row r="14">
      <c r="A14" t="inlineStr">
        <is>
          <t>Aktive Rechnungsabgrenzung</t>
        </is>
      </c>
      <c r="B14" s="3" t="inlineStr">
        <is>
          <t>Prepaid expenses</t>
        </is>
      </c>
      <c r="C14" s="12" t="n">
        <v>25000</v>
      </c>
      <c r="D14" s="13" t="n">
        <v>25000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</row>
    <row r="15">
      <c r="A15" s="9" t="inlineStr">
        <is>
          <t>PASSIVA (Bilanz)</t>
        </is>
      </c>
      <c r="B15" s="10" t="inlineStr">
        <is>
          <t>Liabilities and equity</t>
        </is>
      </c>
      <c r="C15" s="11" t="n"/>
      <c r="D15" s="11" t="n"/>
      <c r="E15" s="11" t="n"/>
      <c r="F15" s="11" t="n"/>
      <c r="G15" s="11" t="n"/>
      <c r="H15" s="11" t="n"/>
      <c r="I15" s="11" t="n"/>
    </row>
    <row r="16">
      <c r="A16" t="inlineStr">
        <is>
          <t>Gezeichnetes Kapital</t>
        </is>
      </c>
      <c r="B16" s="3" t="inlineStr">
        <is>
          <t>Subscribed capital</t>
        </is>
      </c>
      <c r="C16" s="12" t="n">
        <v>25000</v>
      </c>
      <c r="D16" s="13" t="n">
        <v>25000</v>
      </c>
      <c r="E16" s="13" t="n">
        <v>50000</v>
      </c>
      <c r="F16" s="13" t="n">
        <v>25000</v>
      </c>
      <c r="G16" s="13" t="n">
        <v>50000</v>
      </c>
      <c r="H16" s="13" t="n">
        <v>25000</v>
      </c>
      <c r="I16" s="13" t="n">
        <v>200000</v>
      </c>
    </row>
    <row r="17">
      <c r="A17" t="inlineStr">
        <is>
          <t>Kapitalruecklage</t>
        </is>
      </c>
      <c r="B17" s="3" t="inlineStr">
        <is>
          <t>Capital reserve</t>
        </is>
      </c>
      <c r="C17" s="12" t="n">
        <v>0</v>
      </c>
      <c r="D17" s="13" t="n">
        <v>0</v>
      </c>
      <c r="E17" s="13" t="n">
        <v>0</v>
      </c>
      <c r="F17" s="13" t="n">
        <v>0</v>
      </c>
      <c r="G17" s="13" t="n">
        <v>150000</v>
      </c>
      <c r="H17" s="13" t="n">
        <v>0</v>
      </c>
      <c r="I17" s="13" t="n">
        <v>400000</v>
      </c>
    </row>
    <row r="18">
      <c r="A18" t="inlineStr">
        <is>
          <t>Gewinnruecklagen</t>
        </is>
      </c>
      <c r="B18" s="3" t="inlineStr">
        <is>
          <t>Retained earnings reserve</t>
        </is>
      </c>
      <c r="C18" s="12" t="n">
        <v>95000</v>
      </c>
      <c r="D18" s="13" t="n">
        <v>95000</v>
      </c>
      <c r="E18" s="13" t="n">
        <v>220000</v>
      </c>
      <c r="F18" s="13" t="n">
        <v>0</v>
      </c>
      <c r="G18" s="13" t="n">
        <v>320000</v>
      </c>
      <c r="H18" s="13" t="n">
        <v>232000</v>
      </c>
      <c r="I18" s="13" t="n">
        <v>2763000</v>
      </c>
    </row>
    <row r="19">
      <c r="A19" t="inlineStr">
        <is>
          <t>Gewinnvortrag / Verlustvortrag</t>
        </is>
      </c>
      <c r="B19" s="3" t="inlineStr">
        <is>
          <t>Profit carried forward (may be negative)</t>
        </is>
      </c>
      <c r="C19" s="12" t="n">
        <v>95000</v>
      </c>
      <c r="D19" s="13" t="n">
        <v>95000</v>
      </c>
      <c r="E19" s="13" t="n">
        <v>130000</v>
      </c>
      <c r="F19" s="13" t="n">
        <v>-137000</v>
      </c>
      <c r="G19" s="13" t="n">
        <v>260000</v>
      </c>
      <c r="H19" s="13" t="n">
        <v>140000</v>
      </c>
      <c r="I19" s="13" t="n">
        <v>610000</v>
      </c>
    </row>
    <row r="20">
      <c r="A20" t="inlineStr">
        <is>
          <t>Jahresueberschuss laut Bilanz</t>
        </is>
      </c>
      <c r="B20" s="3" t="inlineStr">
        <is>
          <t>Net result as shown in equity</t>
        </is>
      </c>
      <c r="C20" s="12" t="n">
        <v>230000</v>
      </c>
      <c r="D20" s="13" t="n">
        <v>230000</v>
      </c>
      <c r="E20" s="13" t="n">
        <v>116000</v>
      </c>
      <c r="F20" s="13" t="n">
        <v>-458000</v>
      </c>
      <c r="G20" s="13" t="n">
        <v>485000</v>
      </c>
      <c r="H20" s="13" t="n">
        <v>96000</v>
      </c>
      <c r="I20" s="13" t="n">
        <v>967000</v>
      </c>
    </row>
    <row r="21">
      <c r="A21" t="inlineStr">
        <is>
          <t>Ausstehende Einlagen</t>
        </is>
      </c>
      <c r="B21" s="3" t="inlineStr">
        <is>
          <t>Unpaid contributions (deducted)</t>
        </is>
      </c>
      <c r="C21" s="12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</row>
    <row r="22">
      <c r="A22" t="inlineStr">
        <is>
          <t>Rueckstellungen</t>
        </is>
      </c>
      <c r="B22" s="3" t="inlineStr">
        <is>
          <t>Provisions</t>
        </is>
      </c>
      <c r="C22" s="12" t="n">
        <v>350000</v>
      </c>
      <c r="D22" s="13" t="n">
        <v>350000</v>
      </c>
      <c r="E22" s="13" t="n">
        <v>145000</v>
      </c>
      <c r="F22" s="13" t="n">
        <v>120000</v>
      </c>
      <c r="G22" s="13" t="n">
        <v>285000</v>
      </c>
      <c r="H22" s="13" t="n">
        <v>165000</v>
      </c>
      <c r="I22" s="13" t="n">
        <v>690000</v>
      </c>
    </row>
    <row r="23">
      <c r="A23" t="inlineStr">
        <is>
          <t>Pensionsrueckstellungen</t>
        </is>
      </c>
      <c r="B23" s="3" t="inlineStr">
        <is>
          <t>Pension provisions</t>
        </is>
      </c>
      <c r="C23" s="12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</row>
    <row r="24">
      <c r="A24" t="inlineStr">
        <is>
          <t>Verb. Kreditinstitute &lt; 1 Jahr</t>
        </is>
      </c>
      <c r="B24" s="3" t="inlineStr">
        <is>
          <t>Bank debt, short term</t>
        </is>
      </c>
      <c r="C24" s="12" t="n">
        <v>420000</v>
      </c>
      <c r="D24" s="13" t="n">
        <v>420000</v>
      </c>
      <c r="E24" s="13" t="n">
        <v>1480000</v>
      </c>
      <c r="F24" s="13" t="n">
        <v>380000</v>
      </c>
      <c r="G24" s="13" t="n">
        <v>0</v>
      </c>
      <c r="H24" s="13" t="n">
        <v>90000</v>
      </c>
      <c r="I24" s="13" t="n">
        <v>120000</v>
      </c>
    </row>
    <row r="25">
      <c r="A25" t="inlineStr">
        <is>
          <t>Verb. Kreditinstitute &gt; 1 Jahr</t>
        </is>
      </c>
      <c r="B25" s="3" t="inlineStr">
        <is>
          <t>Bank debt, long term</t>
        </is>
      </c>
      <c r="C25" s="12" t="n">
        <v>1250000</v>
      </c>
      <c r="D25" s="13" t="n">
        <v>1250000</v>
      </c>
      <c r="E25" s="13" t="n">
        <v>320000</v>
      </c>
      <c r="F25" s="13" t="n">
        <v>1180000</v>
      </c>
      <c r="G25" s="13" t="n">
        <v>180000</v>
      </c>
      <c r="H25" s="13" t="n">
        <v>560000</v>
      </c>
      <c r="I25" s="13" t="n">
        <v>1340000</v>
      </c>
    </row>
    <row r="26">
      <c r="A26" t="inlineStr">
        <is>
          <t>Verbindlichkeiten aus L+L</t>
        </is>
      </c>
      <c r="B26" s="3" t="inlineStr">
        <is>
          <t>Trade payables</t>
        </is>
      </c>
      <c r="C26" s="12" t="n">
        <v>680000</v>
      </c>
      <c r="D26" s="13" t="n">
        <v>680000</v>
      </c>
      <c r="E26" s="13" t="n">
        <v>1690000</v>
      </c>
      <c r="F26" s="13" t="n">
        <v>295000</v>
      </c>
      <c r="G26" s="13" t="n">
        <v>340000</v>
      </c>
      <c r="H26" s="13" t="n">
        <v>322000</v>
      </c>
      <c r="I26" s="13" t="n">
        <v>690000</v>
      </c>
    </row>
    <row r="27">
      <c r="A27" t="inlineStr">
        <is>
          <t>Sonstige Verbindlichkeiten &lt; 1 Jahr</t>
        </is>
      </c>
      <c r="B27" s="3" t="inlineStr">
        <is>
          <t>Other liabilities, short term</t>
        </is>
      </c>
      <c r="C27" s="12" t="n">
        <v>240000</v>
      </c>
      <c r="D27" s="13" t="n">
        <v>240000</v>
      </c>
      <c r="E27" s="13" t="n">
        <v>489000</v>
      </c>
      <c r="F27" s="13" t="n">
        <v>377000</v>
      </c>
      <c r="G27" s="13" t="n">
        <v>380000</v>
      </c>
      <c r="H27" s="13" t="n">
        <v>120000</v>
      </c>
      <c r="I27" s="13" t="n">
        <v>190000</v>
      </c>
    </row>
    <row r="28">
      <c r="A28" t="inlineStr">
        <is>
          <t>Sonstige Verbindlichkeiten &gt; 1 Jahr</t>
        </is>
      </c>
      <c r="B28" s="3" t="inlineStr">
        <is>
          <t>Other liabilities, long term</t>
        </is>
      </c>
      <c r="C28" s="12" t="n">
        <v>400000</v>
      </c>
      <c r="D28" s="13" t="n">
        <v>400000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</row>
    <row r="29">
      <c r="A29" t="inlineStr">
        <is>
          <t>Passive Rechnungsabgrenzung</t>
        </is>
      </c>
      <c r="B29" s="3" t="inlineStr">
        <is>
          <t>Deferred income</t>
        </is>
      </c>
      <c r="C29" s="12" t="n">
        <v>0</v>
      </c>
      <c r="D29" s="13" t="n">
        <v>0</v>
      </c>
      <c r="E29" s="13" t="n">
        <v>0</v>
      </c>
      <c r="F29" s="13" t="n">
        <v>0</v>
      </c>
      <c r="G29" s="13" t="n">
        <v>0</v>
      </c>
      <c r="H29" s="13" t="n">
        <v>0</v>
      </c>
      <c r="I29" s="13" t="n">
        <v>0</v>
      </c>
    </row>
    <row r="30">
      <c r="A30" s="9" t="inlineStr">
        <is>
          <t>SONDERPOSITIONEN</t>
        </is>
      </c>
      <c r="B30" s="10" t="inlineStr">
        <is>
          <t>The items that decide fixability</t>
        </is>
      </c>
      <c r="C30" s="11" t="n"/>
      <c r="D30" s="11" t="n"/>
      <c r="E30" s="11" t="n"/>
      <c r="F30" s="11" t="n"/>
      <c r="G30" s="11" t="n"/>
      <c r="H30" s="11" t="n"/>
      <c r="I30" s="11" t="n"/>
    </row>
    <row r="31">
      <c r="A31" t="inlineStr">
        <is>
          <t>Gesellschafterdarlehen</t>
        </is>
      </c>
      <c r="B31" s="3" t="inlineStr">
        <is>
          <t>Shareholder loan</t>
        </is>
      </c>
      <c r="C31" s="12" t="n">
        <v>600000</v>
      </c>
      <c r="D31" s="13" t="n">
        <v>600000</v>
      </c>
      <c r="E31" s="13" t="n">
        <v>0</v>
      </c>
      <c r="F31" s="13" t="n">
        <v>0</v>
      </c>
      <c r="G31" s="13" t="n">
        <v>0</v>
      </c>
      <c r="H31" s="13" t="n">
        <v>320000</v>
      </c>
      <c r="I31" s="13" t="n">
        <v>0</v>
      </c>
    </row>
    <row r="32">
      <c r="A32" t="inlineStr">
        <is>
          <t>Rangruecktritt vorhanden (1 = ja)</t>
        </is>
      </c>
      <c r="B32" s="3" t="inlineStr">
        <is>
          <t>Subordination agreement in place</t>
        </is>
      </c>
      <c r="C32" s="14" t="n">
        <v>0</v>
      </c>
      <c r="D32" s="15" t="n">
        <v>0</v>
      </c>
      <c r="E32" s="15" t="n">
        <v>0</v>
      </c>
      <c r="F32" s="15" t="n">
        <v>0</v>
      </c>
      <c r="G32" s="15" t="n">
        <v>0</v>
      </c>
      <c r="H32" s="15" t="n">
        <v>0</v>
      </c>
      <c r="I32" s="15" t="n">
        <v>0</v>
      </c>
    </row>
    <row r="33">
      <c r="A33" t="inlineStr">
        <is>
          <t>Kontokorrentlinie (Limit)</t>
        </is>
      </c>
      <c r="B33" s="3" t="inlineStr">
        <is>
          <t>Overdraft facility limit</t>
        </is>
      </c>
      <c r="C33" s="12" t="n">
        <v>500000</v>
      </c>
      <c r="D33" s="13" t="n">
        <v>500000</v>
      </c>
      <c r="E33" s="13" t="n">
        <v>1500000</v>
      </c>
      <c r="F33" s="13" t="n">
        <v>400000</v>
      </c>
      <c r="G33" s="13" t="n">
        <v>300000</v>
      </c>
      <c r="H33" s="13" t="n">
        <v>250000</v>
      </c>
      <c r="I33" s="13" t="n">
        <v>800000</v>
      </c>
    </row>
    <row r="34">
      <c r="A34" t="inlineStr">
        <is>
          <t>Kontokorrent-Inanspruchnahme</t>
        </is>
      </c>
      <c r="B34" s="3" t="inlineStr">
        <is>
          <t>Overdraft drawn</t>
        </is>
      </c>
      <c r="C34" s="12" t="n">
        <v>420000</v>
      </c>
      <c r="D34" s="13" t="n">
        <v>420000</v>
      </c>
      <c r="E34" s="13" t="n">
        <v>1460000</v>
      </c>
      <c r="F34" s="13" t="n">
        <v>380000</v>
      </c>
      <c r="G34" s="13" t="n">
        <v>0</v>
      </c>
      <c r="H34" s="13" t="n">
        <v>90000</v>
      </c>
      <c r="I34" s="13" t="n">
        <v>0</v>
      </c>
    </row>
    <row r="35">
      <c r="A35" t="inlineStr">
        <is>
          <t>Leasingverpflichtungen</t>
        </is>
      </c>
      <c r="B35" s="3" t="inlineStr">
        <is>
          <t>Off-balance-sheet leasing</t>
        </is>
      </c>
      <c r="C35" s="12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</row>
    <row r="36">
      <c r="A36" s="9" t="inlineStr">
        <is>
          <t>GUV (HGB §275, Gesamtkostenverfahren)</t>
        </is>
      </c>
      <c r="B36" s="10" t="inlineStr">
        <is>
          <t>Income statement</t>
        </is>
      </c>
      <c r="C36" s="11" t="n"/>
      <c r="D36" s="11" t="n"/>
      <c r="E36" s="11" t="n"/>
      <c r="F36" s="11" t="n"/>
      <c r="G36" s="11" t="n"/>
      <c r="H36" s="11" t="n"/>
      <c r="I36" s="11" t="n"/>
    </row>
    <row r="37">
      <c r="A37" t="inlineStr">
        <is>
          <t>Periodenlaenge in Monaten</t>
        </is>
      </c>
      <c r="B37" s="3" t="inlineStr">
        <is>
          <t>1-12; a mid-year BWA is annualised</t>
        </is>
      </c>
      <c r="C37" s="14" t="n">
        <v>12</v>
      </c>
      <c r="D37" s="15" t="n">
        <v>12</v>
      </c>
      <c r="E37" s="15" t="n">
        <v>12</v>
      </c>
      <c r="F37" s="15" t="n">
        <v>12</v>
      </c>
      <c r="G37" s="15" t="n">
        <v>12</v>
      </c>
      <c r="H37" s="15" t="n">
        <v>12</v>
      </c>
      <c r="I37" s="15" t="n">
        <v>12</v>
      </c>
    </row>
    <row r="38">
      <c r="A38" t="inlineStr">
        <is>
          <t>Umsatzerloese</t>
        </is>
      </c>
      <c r="B38" s="3" t="inlineStr">
        <is>
          <t>Revenue</t>
        </is>
      </c>
      <c r="C38" s="12" t="n">
        <v>8200000</v>
      </c>
      <c r="D38" s="13" t="n">
        <v>8200000</v>
      </c>
      <c r="E38" s="13" t="n">
        <v>11400000</v>
      </c>
      <c r="F38" s="13" t="n">
        <v>2980000</v>
      </c>
      <c r="G38" s="13" t="n">
        <v>7850000</v>
      </c>
      <c r="H38" s="13" t="n">
        <v>3640000</v>
      </c>
      <c r="I38" s="13" t="n">
        <v>14600000</v>
      </c>
    </row>
    <row r="39">
      <c r="A39" t="inlineStr">
        <is>
          <t>Bestandsveraenderungen</t>
        </is>
      </c>
      <c r="B39" s="3" t="inlineStr">
        <is>
          <t>Change in inventories</t>
        </is>
      </c>
      <c r="C39" s="12" t="n">
        <v>0</v>
      </c>
      <c r="D39" s="13" t="n">
        <v>0</v>
      </c>
      <c r="E39" s="13" t="n">
        <v>0</v>
      </c>
      <c r="F39" s="13" t="n">
        <v>0</v>
      </c>
      <c r="G39" s="13" t="n">
        <v>0</v>
      </c>
      <c r="H39" s="13" t="n">
        <v>0</v>
      </c>
      <c r="I39" s="13" t="n">
        <v>0</v>
      </c>
    </row>
    <row r="40">
      <c r="A40" t="inlineStr">
        <is>
          <t>Sonstige betriebliche Ertraege</t>
        </is>
      </c>
      <c r="B40" s="3" t="inlineStr">
        <is>
          <t>Other operating income</t>
        </is>
      </c>
      <c r="C40" s="12" t="n">
        <v>45000</v>
      </c>
      <c r="D40" s="13" t="n">
        <v>45000</v>
      </c>
      <c r="E40" s="13" t="n">
        <v>0</v>
      </c>
      <c r="F40" s="13" t="n">
        <v>0</v>
      </c>
      <c r="G40" s="13" t="n">
        <v>0</v>
      </c>
      <c r="H40" s="13" t="n">
        <v>0</v>
      </c>
      <c r="I40" s="13" t="n">
        <v>85000</v>
      </c>
    </row>
    <row r="41">
      <c r="A41" t="inlineStr">
        <is>
          <t>Materialaufwand</t>
        </is>
      </c>
      <c r="B41" s="3" t="inlineStr">
        <is>
          <t>Cost of materials</t>
        </is>
      </c>
      <c r="C41" s="12" t="n">
        <v>4180000</v>
      </c>
      <c r="D41" s="13" t="n">
        <v>4180000</v>
      </c>
      <c r="E41" s="13" t="n">
        <v>8950000</v>
      </c>
      <c r="F41" s="13" t="n">
        <v>1090000</v>
      </c>
      <c r="G41" s="13" t="n">
        <v>1180000</v>
      </c>
      <c r="H41" s="13" t="n">
        <v>1580000</v>
      </c>
      <c r="I41" s="13" t="n">
        <v>6100000</v>
      </c>
    </row>
    <row r="42">
      <c r="A42" t="inlineStr">
        <is>
          <t>Personalaufwand</t>
        </is>
      </c>
      <c r="B42" s="3" t="inlineStr">
        <is>
          <t>Personnel expenses</t>
        </is>
      </c>
      <c r="C42" s="12" t="n">
        <v>2650000</v>
      </c>
      <c r="D42" s="13" t="n">
        <v>2650000</v>
      </c>
      <c r="E42" s="13" t="n">
        <v>1420000</v>
      </c>
      <c r="F42" s="13" t="n">
        <v>1520000</v>
      </c>
      <c r="G42" s="13" t="n">
        <v>5100000</v>
      </c>
      <c r="H42" s="13" t="n">
        <v>1480000</v>
      </c>
      <c r="I42" s="13" t="n">
        <v>5180000</v>
      </c>
    </row>
    <row r="43">
      <c r="A43" t="inlineStr">
        <is>
          <t>Abschreibungen</t>
        </is>
      </c>
      <c r="B43" s="3" t="inlineStr">
        <is>
          <t>Depreciation and amortisation</t>
        </is>
      </c>
      <c r="C43" s="12" t="n">
        <v>245000</v>
      </c>
      <c r="D43" s="13" t="n">
        <v>245000</v>
      </c>
      <c r="E43" s="13" t="n">
        <v>95000</v>
      </c>
      <c r="F43" s="13" t="n">
        <v>210000</v>
      </c>
      <c r="G43" s="13" t="n">
        <v>105000</v>
      </c>
      <c r="H43" s="13" t="n">
        <v>92000</v>
      </c>
      <c r="I43" s="13" t="n">
        <v>480000</v>
      </c>
    </row>
    <row r="44">
      <c r="A44" t="inlineStr">
        <is>
          <t>Sonstige betriebliche Aufwendungen</t>
        </is>
      </c>
      <c r="B44" s="3" t="inlineStr">
        <is>
          <t>Other operating expenses</t>
        </is>
      </c>
      <c r="C44" s="12" t="n">
        <v>790000</v>
      </c>
      <c r="D44" s="13" t="n">
        <v>790000</v>
      </c>
      <c r="E44" s="13" t="n">
        <v>640000</v>
      </c>
      <c r="F44" s="13" t="n">
        <v>520000</v>
      </c>
      <c r="G44" s="13" t="n">
        <v>820000</v>
      </c>
      <c r="H44" s="13" t="n">
        <v>330000</v>
      </c>
      <c r="I44" s="13" t="n">
        <v>1580000</v>
      </c>
    </row>
    <row r="45">
      <c r="A45" t="inlineStr">
        <is>
          <t>Zinsertraege</t>
        </is>
      </c>
      <c r="B45" s="3" t="inlineStr">
        <is>
          <t>Interest income</t>
        </is>
      </c>
      <c r="C45" s="12" t="n">
        <v>0</v>
      </c>
      <c r="D45" s="13" t="n">
        <v>0</v>
      </c>
      <c r="E45" s="13" t="n">
        <v>0</v>
      </c>
      <c r="F45" s="13" t="n">
        <v>0</v>
      </c>
      <c r="G45" s="13" t="n">
        <v>0</v>
      </c>
      <c r="H45" s="13" t="n">
        <v>0</v>
      </c>
      <c r="I45" s="13" t="n">
        <v>0</v>
      </c>
    </row>
    <row r="46">
      <c r="A46" t="inlineStr">
        <is>
          <t>Zinsaufwand</t>
        </is>
      </c>
      <c r="B46" s="3" t="inlineStr">
        <is>
          <t>Interest expense</t>
        </is>
      </c>
      <c r="C46" s="12" t="n">
        <v>95000</v>
      </c>
      <c r="D46" s="13" t="n">
        <v>95000</v>
      </c>
      <c r="E46" s="13" t="n">
        <v>148000</v>
      </c>
      <c r="F46" s="13" t="n">
        <v>98000</v>
      </c>
      <c r="G46" s="13" t="n">
        <v>12000</v>
      </c>
      <c r="H46" s="13" t="n">
        <v>34000</v>
      </c>
      <c r="I46" s="13" t="n">
        <v>68000</v>
      </c>
    </row>
    <row r="47">
      <c r="A47" t="inlineStr">
        <is>
          <t>Steuern</t>
        </is>
      </c>
      <c r="B47" s="3" t="inlineStr">
        <is>
          <t>Taxes</t>
        </is>
      </c>
      <c r="C47" s="12" t="n">
        <v>55000</v>
      </c>
      <c r="D47" s="13" t="n">
        <v>55000</v>
      </c>
      <c r="E47" s="13" t="n">
        <v>31000</v>
      </c>
      <c r="F47" s="13" t="n">
        <v>0</v>
      </c>
      <c r="G47" s="13" t="n">
        <v>148000</v>
      </c>
      <c r="H47" s="13" t="n">
        <v>28000</v>
      </c>
      <c r="I47" s="13" t="n">
        <v>310000</v>
      </c>
    </row>
    <row r="48">
      <c r="A48" s="9" t="inlineStr">
        <is>
          <t>VORJAHR (nur fuer Trendaussagen)</t>
        </is>
      </c>
      <c r="B48" s="10" t="inlineStr">
        <is>
          <t>Prior year, for growth only</t>
        </is>
      </c>
      <c r="C48" s="11" t="n"/>
      <c r="D48" s="11" t="n"/>
      <c r="E48" s="11" t="n"/>
      <c r="F48" s="11" t="n"/>
      <c r="G48" s="11" t="n"/>
      <c r="H48" s="11" t="n"/>
      <c r="I48" s="11" t="n"/>
    </row>
    <row r="49">
      <c r="A49" t="inlineStr">
        <is>
          <t>Umsatzerloese Vorjahr</t>
        </is>
      </c>
      <c r="B49" s="3" t="inlineStr">
        <is>
          <t>Prior-year revenue (0 = none)</t>
        </is>
      </c>
      <c r="C49" s="12" t="n">
        <v>7650000</v>
      </c>
      <c r="D49" s="13" t="n">
        <v>7650000</v>
      </c>
      <c r="E49" s="13" t="n">
        <v>10900000</v>
      </c>
      <c r="F49" s="13" t="n">
        <v>3780000</v>
      </c>
      <c r="G49" s="13" t="n">
        <v>6420000</v>
      </c>
      <c r="H49" s="13" t="n">
        <v>3480000</v>
      </c>
      <c r="I49" s="13" t="n">
        <v>13900000</v>
      </c>
    </row>
    <row r="50">
      <c r="A50" t="inlineStr">
        <is>
          <t>Periodenlaenge Vorjahr</t>
        </is>
      </c>
      <c r="B50" s="3" t="inlineStr">
        <is>
          <t>Prior-year period months</t>
        </is>
      </c>
      <c r="C50" s="14" t="n">
        <v>12</v>
      </c>
      <c r="D50" s="15" t="n">
        <v>12</v>
      </c>
      <c r="E50" s="15" t="n">
        <v>12</v>
      </c>
      <c r="F50" s="15" t="n">
        <v>12</v>
      </c>
      <c r="G50" s="15" t="n">
        <v>12</v>
      </c>
      <c r="H50" s="15" t="n">
        <v>12</v>
      </c>
      <c r="I50" s="15" t="n">
        <v>12</v>
      </c>
    </row>
    <row r="51">
      <c r="A51" s="9" t="inlineStr">
        <is>
          <t>DARLEHENSDIENST</t>
        </is>
      </c>
      <c r="B51" s="10" t="inlineStr">
        <is>
          <t>Debt service from the facility list</t>
        </is>
      </c>
      <c r="C51" s="11" t="n"/>
      <c r="D51" s="11" t="n"/>
      <c r="E51" s="11" t="n"/>
      <c r="F51" s="11" t="n"/>
      <c r="G51" s="11" t="n"/>
      <c r="H51" s="11" t="n"/>
      <c r="I51" s="11" t="n"/>
    </row>
    <row r="52">
      <c r="A52" t="inlineStr">
        <is>
          <t>Zinsen p.a. (Summe Darlehensliste)</t>
        </is>
      </c>
      <c r="B52" s="3" t="inlineStr">
        <is>
          <t>Sum of outstanding x rate</t>
        </is>
      </c>
      <c r="C52" s="12" t="n">
        <v>99900</v>
      </c>
      <c r="D52" s="13" t="n">
        <v>99900</v>
      </c>
      <c r="E52" s="13" t="n">
        <v>146580</v>
      </c>
      <c r="F52" s="13" t="n">
        <v>98940</v>
      </c>
      <c r="G52" s="13" t="n">
        <v>8100</v>
      </c>
      <c r="H52" s="13" t="n">
        <v>32830</v>
      </c>
      <c r="I52" s="13" t="n">
        <v>54940</v>
      </c>
    </row>
    <row r="53">
      <c r="A53" t="inlineStr">
        <is>
          <t>Tilgung p.a. (Summe Darlehensliste)</t>
        </is>
      </c>
      <c r="B53" s="3" t="inlineStr">
        <is>
          <t>Sum of annual principal repayments</t>
        </is>
      </c>
      <c r="C53" s="12" t="n">
        <v>180000</v>
      </c>
      <c r="D53" s="13" t="n">
        <v>180000</v>
      </c>
      <c r="E53" s="13" t="n">
        <v>65000</v>
      </c>
      <c r="F53" s="13" t="n">
        <v>145000</v>
      </c>
      <c r="G53" s="13" t="n">
        <v>60000</v>
      </c>
      <c r="H53" s="13" t="n">
        <v>80000</v>
      </c>
      <c r="I53" s="13" t="n">
        <v>220000</v>
      </c>
    </row>
    <row r="54">
      <c r="A54" s="9" t="inlineStr">
        <is>
          <t>FINANZIERUNGSWUNSCH</t>
        </is>
      </c>
      <c r="B54" s="10" t="inlineStr">
        <is>
          <t>The requested new facility</t>
        </is>
      </c>
      <c r="C54" s="11" t="n"/>
      <c r="D54" s="11" t="n"/>
      <c r="E54" s="11" t="n"/>
      <c r="F54" s="11" t="n"/>
      <c r="G54" s="11" t="n"/>
      <c r="H54" s="11" t="n"/>
      <c r="I54" s="11" t="n"/>
    </row>
    <row r="55">
      <c r="A55" t="inlineStr">
        <is>
          <t>Beantragter Betrag</t>
        </is>
      </c>
      <c r="B55" s="3" t="inlineStr">
        <is>
          <t>Requested amount (0 = none)</t>
        </is>
      </c>
      <c r="C55" s="12" t="n">
        <v>750000</v>
      </c>
      <c r="D55" s="13" t="n">
        <v>750000</v>
      </c>
      <c r="E55" s="13" t="n">
        <v>600000</v>
      </c>
      <c r="F55" s="13" t="n">
        <v>350000</v>
      </c>
      <c r="G55" s="13" t="n">
        <v>1200000</v>
      </c>
      <c r="H55" s="13" t="n">
        <v>400000</v>
      </c>
      <c r="I55" s="13" t="n">
        <v>1500000</v>
      </c>
    </row>
    <row r="56">
      <c r="A56" t="inlineStr">
        <is>
          <t>Laufzeit in Jahren</t>
        </is>
      </c>
      <c r="B56" s="3" t="inlineStr">
        <is>
          <t>Tenor in years</t>
        </is>
      </c>
      <c r="C56" s="14" t="n">
        <v>7</v>
      </c>
      <c r="D56" s="15" t="n">
        <v>7</v>
      </c>
      <c r="E56" s="15" t="n">
        <v>5</v>
      </c>
      <c r="F56" s="15" t="n">
        <v>5</v>
      </c>
      <c r="G56" s="15" t="n">
        <v>6</v>
      </c>
      <c r="H56" s="15" t="n">
        <v>8</v>
      </c>
      <c r="I56" s="15" t="n">
        <v>8</v>
      </c>
    </row>
    <row r="57">
      <c r="A57" t="inlineStr">
        <is>
          <t>Verfuegbare Sicherheiten</t>
        </is>
      </c>
      <c r="B57" s="3" t="inlineStr">
        <is>
          <t>Collateral available</t>
        </is>
      </c>
      <c r="C57" s="12" t="n">
        <v>400000</v>
      </c>
      <c r="D57" s="13" t="n">
        <v>400000</v>
      </c>
      <c r="E57" s="13" t="n">
        <v>150000</v>
      </c>
      <c r="F57" s="13" t="n">
        <v>40000</v>
      </c>
      <c r="G57" s="13" t="n">
        <v>180000</v>
      </c>
      <c r="H57" s="13" t="n">
        <v>350000</v>
      </c>
      <c r="I57" s="13" t="n">
        <v>1400000</v>
      </c>
    </row>
    <row r="58">
      <c r="A58" s="9" t="inlineStr">
        <is>
          <t>VERHALTENSDATEN</t>
        </is>
      </c>
      <c r="B58" s="10" t="inlineStr">
        <is>
          <t>Behavioural data</t>
        </is>
      </c>
      <c r="C58" s="11" t="n"/>
      <c r="D58" s="11" t="n"/>
      <c r="E58" s="11" t="n"/>
      <c r="F58" s="11" t="n"/>
      <c r="G58" s="11" t="n"/>
      <c r="H58" s="11" t="n"/>
      <c r="I58" s="11" t="n"/>
    </row>
    <row r="59">
      <c r="A59" t="inlineStr">
        <is>
          <t>Alter der juengsten BWA (Monate)</t>
        </is>
      </c>
      <c r="B59" s="3" t="inlineStr">
        <is>
          <t>Age of latest management report</t>
        </is>
      </c>
      <c r="C59" s="16" t="n">
        <v>5</v>
      </c>
      <c r="D59" s="6" t="n">
        <v>5</v>
      </c>
      <c r="E59" s="6" t="n">
        <v>2</v>
      </c>
      <c r="F59" s="6" t="n">
        <v>7</v>
      </c>
      <c r="G59" s="6" t="n">
        <v>2</v>
      </c>
      <c r="H59" s="6" t="n">
        <v>9</v>
      </c>
      <c r="I59" s="6" t="n">
        <v>1</v>
      </c>
    </row>
    <row r="60">
      <c r="A60" t="inlineStr">
        <is>
          <t>Creditreform Bonitaetsindex (100-600)</t>
        </is>
      </c>
      <c r="B60" s="3" t="inlineStr">
        <is>
          <t>Leave empty if no report held</t>
        </is>
      </c>
      <c r="C60" s="14" t="n">
        <v>248</v>
      </c>
      <c r="D60" s="15" t="n">
        <v>248</v>
      </c>
      <c r="E60" s="15" t="n">
        <v>289</v>
      </c>
      <c r="F60" s="15" t="n">
        <v>384</v>
      </c>
      <c r="G60" s="15" t="n">
        <v>195</v>
      </c>
      <c r="H60" s="15" t="n">
        <v>262</v>
      </c>
      <c r="I60" s="15" t="n">
        <v>168</v>
      </c>
    </row>
    <row r="61">
      <c r="A61" t="inlineStr">
        <is>
          <t>Durchschn. Zahlungsverzug (Tage)</t>
        </is>
      </c>
      <c r="B61" s="3" t="inlineStr">
        <is>
          <t>Average days beyond terms</t>
        </is>
      </c>
      <c r="C61" s="16" t="n">
        <v>6</v>
      </c>
      <c r="D61" s="6" t="n">
        <v>6</v>
      </c>
      <c r="E61" s="6" t="n">
        <v>14</v>
      </c>
      <c r="F61" s="6" t="n">
        <v>28</v>
      </c>
      <c r="G61" s="6" t="n">
        <v>2</v>
      </c>
      <c r="H61" s="6" t="n">
        <v>4</v>
      </c>
      <c r="I61" s="6" t="n">
        <v>0</v>
      </c>
    </row>
    <row r="62">
      <c r="A62" t="inlineStr">
        <is>
          <t>Ruecklastschriften (12 Monate)</t>
        </is>
      </c>
      <c r="B62" s="3" t="inlineStr">
        <is>
          <t>Returned direct debits</t>
        </is>
      </c>
      <c r="C62" s="14" t="n">
        <v>0</v>
      </c>
      <c r="D62" s="15" t="n">
        <v>0</v>
      </c>
      <c r="E62" s="15" t="n">
        <v>0</v>
      </c>
      <c r="F62" s="15" t="n">
        <v>3</v>
      </c>
      <c r="G62" s="15" t="n">
        <v>0</v>
      </c>
      <c r="H62" s="15" t="n">
        <v>0</v>
      </c>
      <c r="I62" s="15" t="n">
        <v>0</v>
      </c>
    </row>
    <row r="63">
      <c r="A63" t="inlineStr">
        <is>
          <t>Tage am KK-Limit (12 Monate)</t>
        </is>
      </c>
      <c r="B63" s="3" t="inlineStr">
        <is>
          <t>Days at the overdraft limit</t>
        </is>
      </c>
      <c r="C63" s="14" t="n">
        <v>95</v>
      </c>
      <c r="D63" s="15" t="n">
        <v>95</v>
      </c>
      <c r="E63" s="15" t="n">
        <v>210</v>
      </c>
      <c r="F63" s="15" t="n">
        <v>265</v>
      </c>
      <c r="G63" s="15" t="n">
        <v>0</v>
      </c>
      <c r="H63" s="15" t="n">
        <v>0</v>
      </c>
      <c r="I63" s="15" t="n">
        <v>0</v>
      </c>
    </row>
    <row r="64">
      <c r="A64" t="inlineStr">
        <is>
          <t>Steuerrueckstaende (1 = ja)</t>
        </is>
      </c>
      <c r="B64" s="3" t="inlineStr">
        <is>
          <t>Tax arrears</t>
        </is>
      </c>
      <c r="C64" s="14" t="n">
        <v>0</v>
      </c>
      <c r="D64" s="15" t="n">
        <v>0</v>
      </c>
      <c r="E64" s="15" t="n">
        <v>0</v>
      </c>
      <c r="F64" s="15" t="n">
        <v>1</v>
      </c>
      <c r="G64" s="15" t="n">
        <v>0</v>
      </c>
      <c r="H64" s="15" t="n">
        <v>0</v>
      </c>
      <c r="I64" s="15" t="n">
        <v>0</v>
      </c>
    </row>
    <row r="65">
      <c r="A65" t="inlineStr">
        <is>
          <t>Planrechnung liegt vor (1 = ja)</t>
        </is>
      </c>
      <c r="B65" s="3" t="inlineStr">
        <is>
          <t>Financial plan provided</t>
        </is>
      </c>
      <c r="C65" s="14" t="n">
        <v>0</v>
      </c>
      <c r="D65" s="15" t="n">
        <v>0</v>
      </c>
      <c r="E65" s="15" t="n">
        <v>0</v>
      </c>
      <c r="F65" s="15" t="n">
        <v>0</v>
      </c>
      <c r="G65" s="15" t="n">
        <v>1</v>
      </c>
      <c r="H65" s="15" t="n">
        <v>0</v>
      </c>
      <c r="I65" s="1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5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Zwischengroessen und Kennzahlen / derived figures and ratios</t>
        </is>
      </c>
    </row>
    <row r="2">
      <c r="A2" s="3" t="inlineStr">
        <is>
          <t>Alles Formeln. Diese Seite ist die eigentliche Nachrechnung von models.py und ratios.py.</t>
        </is>
      </c>
    </row>
    <row r="4" ht="30" customHeight="1">
      <c r="A4" s="8" t="inlineStr">
        <is>
          <t>Groesse</t>
        </is>
      </c>
      <c r="B4" s="8" t="inlineStr">
        <is>
          <t>Formel / formula</t>
        </is>
      </c>
      <c r="C4" s="8" t="inlineStr">
        <is>
          <t>Ihr Fall</t>
        </is>
      </c>
      <c r="D4" s="8" t="inlineStr">
        <is>
          <t>Mueller Praezisionstechnik GmbH</t>
        </is>
      </c>
      <c r="E4" s="8" t="inlineStr">
        <is>
          <t>Nordlicht Handel GmbH &amp; Co. KG</t>
        </is>
      </c>
      <c r="F4" s="8" t="inlineStr">
        <is>
          <t>Gastro Rheinblick GmbH</t>
        </is>
      </c>
      <c r="G4" s="8" t="inlineStr">
        <is>
          <t>Datenwerk Consulting GmbH</t>
        </is>
      </c>
      <c r="H4" s="8" t="inlineStr">
        <is>
          <t>Ihrig Sanitaer- und Heizungstechnik GmbH</t>
        </is>
      </c>
      <c r="I4" s="8" t="inlineStr">
        <is>
          <t>Hoffmann Medizintechnik GmbH</t>
        </is>
      </c>
    </row>
    <row r="5">
      <c r="A5" s="9" t="inlineStr">
        <is>
          <t>ZWISCHENGROESSEN (models.py)</t>
        </is>
      </c>
      <c r="B5" s="10" t="inlineStr">
        <is>
          <t>Derived figures</t>
        </is>
      </c>
      <c r="C5" s="11" t="n"/>
      <c r="D5" s="11" t="n"/>
      <c r="E5" s="11" t="n"/>
      <c r="F5" s="11" t="n"/>
      <c r="G5" s="11" t="n"/>
      <c r="H5" s="11" t="n"/>
      <c r="I5" s="11" t="n"/>
    </row>
    <row r="6">
      <c r="A6" t="inlineStr">
        <is>
          <t>Annualisierungsfaktor</t>
        </is>
      </c>
      <c r="B6" s="3" t="inlineStr">
        <is>
          <t>12 / Periodenmonate</t>
        </is>
      </c>
      <c r="C6" s="5">
        <f>12/Eingaben!C37</f>
        <v/>
      </c>
      <c r="D6" s="5">
        <f>12/Eingaben!D37</f>
        <v/>
      </c>
      <c r="E6" s="5">
        <f>12/Eingaben!E37</f>
        <v/>
      </c>
      <c r="F6" s="5">
        <f>12/Eingaben!F37</f>
        <v/>
      </c>
      <c r="G6" s="5">
        <f>12/Eingaben!G37</f>
        <v/>
      </c>
      <c r="H6" s="5">
        <f>12/Eingaben!H37</f>
        <v/>
      </c>
      <c r="I6" s="5">
        <f>12/Eingaben!I37</f>
        <v/>
      </c>
    </row>
    <row r="7">
      <c r="A7" t="inlineStr">
        <is>
          <t>Anlagevermoegen</t>
        </is>
      </c>
      <c r="B7" s="3" t="inlineStr">
        <is>
          <t>immat + Sachanlagen + Finanzanlagen</t>
        </is>
      </c>
      <c r="C7" s="13">
        <f>Eingaben!C6+Eingaben!C7+Eingaben!C8</f>
        <v/>
      </c>
      <c r="D7" s="13">
        <f>Eingaben!D6+Eingaben!D7+Eingaben!D8</f>
        <v/>
      </c>
      <c r="E7" s="13">
        <f>Eingaben!E6+Eingaben!E7+Eingaben!E8</f>
        <v/>
      </c>
      <c r="F7" s="13">
        <f>Eingaben!F6+Eingaben!F7+Eingaben!F8</f>
        <v/>
      </c>
      <c r="G7" s="13">
        <f>Eingaben!G6+Eingaben!G7+Eingaben!G8</f>
        <v/>
      </c>
      <c r="H7" s="13">
        <f>Eingaben!H6+Eingaben!H7+Eingaben!H8</f>
        <v/>
      </c>
      <c r="I7" s="13">
        <f>Eingaben!I6+Eingaben!I7+Eingaben!I8</f>
        <v/>
      </c>
    </row>
    <row r="8">
      <c r="A8" t="inlineStr">
        <is>
          <t>Umlaufvermoegen</t>
        </is>
      </c>
      <c r="B8" s="3" t="inlineStr">
        <is>
          <t>Vorraete + Ford. + sonst. VG + WP + liquide Mittel</t>
        </is>
      </c>
      <c r="C8" s="13">
        <f>Eingaben!C9+Eingaben!C10+Eingaben!C11+Eingaben!C12+Eingaben!C13</f>
        <v/>
      </c>
      <c r="D8" s="13">
        <f>Eingaben!D9+Eingaben!D10+Eingaben!D11+Eingaben!D12+Eingaben!D13</f>
        <v/>
      </c>
      <c r="E8" s="13">
        <f>Eingaben!E9+Eingaben!E10+Eingaben!E11+Eingaben!E12+Eingaben!E13</f>
        <v/>
      </c>
      <c r="F8" s="13">
        <f>Eingaben!F9+Eingaben!F10+Eingaben!F11+Eingaben!F12+Eingaben!F13</f>
        <v/>
      </c>
      <c r="G8" s="13">
        <f>Eingaben!G9+Eingaben!G10+Eingaben!G11+Eingaben!G12+Eingaben!G13</f>
        <v/>
      </c>
      <c r="H8" s="13">
        <f>Eingaben!H9+Eingaben!H10+Eingaben!H11+Eingaben!H12+Eingaben!H13</f>
        <v/>
      </c>
      <c r="I8" s="13">
        <f>Eingaben!I9+Eingaben!I10+Eingaben!I11+Eingaben!I12+Eingaben!I13</f>
        <v/>
      </c>
    </row>
    <row r="9">
      <c r="A9" t="inlineStr">
        <is>
          <t>Bilanzsumme (Aktiva)</t>
        </is>
      </c>
      <c r="B9" s="3" t="inlineStr">
        <is>
          <t>AV + UV + ARAP</t>
        </is>
      </c>
      <c r="C9" s="13">
        <f>C7+C8+Eingaben!C14</f>
        <v/>
      </c>
      <c r="D9" s="13">
        <f>D7+D8+Eingaben!D14</f>
        <v/>
      </c>
      <c r="E9" s="13">
        <f>E7+E8+Eingaben!E14</f>
        <v/>
      </c>
      <c r="F9" s="13">
        <f>F7+F8+Eingaben!F14</f>
        <v/>
      </c>
      <c r="G9" s="13">
        <f>G7+G8+Eingaben!G14</f>
        <v/>
      </c>
      <c r="H9" s="13">
        <f>H7+H8+Eingaben!H14</f>
        <v/>
      </c>
      <c r="I9" s="13">
        <f>I7+I8+Eingaben!I14</f>
        <v/>
      </c>
    </row>
    <row r="10">
      <c r="A10" t="inlineStr">
        <is>
          <t>Summe Passiva (Probe)</t>
        </is>
      </c>
      <c r="B10" s="3" t="inlineStr">
        <is>
          <t>EK + Rueckst. + Verb. + PRAP + Ges.darlehen</t>
        </is>
      </c>
      <c r="C10" s="13">
        <f>C13+Eingaben!C22+Eingaben!C23+Eingaben!C24+Eingaben!C25+Eingaben!C26+Eingaben!C27+Eingaben!C28+Eingaben!C31+Eingaben!C29</f>
        <v/>
      </c>
      <c r="D10" s="13">
        <f>D13+Eingaben!D22+Eingaben!D23+Eingaben!D24+Eingaben!D25+Eingaben!D26+Eingaben!D27+Eingaben!D28+Eingaben!D31+Eingaben!D29</f>
        <v/>
      </c>
      <c r="E10" s="13">
        <f>E13+Eingaben!E22+Eingaben!E23+Eingaben!E24+Eingaben!E25+Eingaben!E26+Eingaben!E27+Eingaben!E28+Eingaben!E31+Eingaben!E29</f>
        <v/>
      </c>
      <c r="F10" s="13">
        <f>F13+Eingaben!F22+Eingaben!F23+Eingaben!F24+Eingaben!F25+Eingaben!F26+Eingaben!F27+Eingaben!F28+Eingaben!F31+Eingaben!F29</f>
        <v/>
      </c>
      <c r="G10" s="13">
        <f>G13+Eingaben!G22+Eingaben!G23+Eingaben!G24+Eingaben!G25+Eingaben!G26+Eingaben!G27+Eingaben!G28+Eingaben!G31+Eingaben!G29</f>
        <v/>
      </c>
      <c r="H10" s="13">
        <f>H13+Eingaben!H22+Eingaben!H23+Eingaben!H24+Eingaben!H25+Eingaben!H26+Eingaben!H27+Eingaben!H28+Eingaben!H31+Eingaben!H29</f>
        <v/>
      </c>
      <c r="I10" s="13">
        <f>I13+Eingaben!I22+Eingaben!I23+Eingaben!I24+Eingaben!I25+Eingaben!I26+Eingaben!I27+Eingaben!I28+Eingaben!I31+Eingaben!I29</f>
        <v/>
      </c>
    </row>
    <row r="11">
      <c r="A11" t="inlineStr">
        <is>
          <t>Bilanzprobe: Aktiva - Passiva</t>
        </is>
      </c>
      <c r="B11" s="3" t="inlineStr">
        <is>
          <t>Muss ~0 sein, sonst blockiert die Engine</t>
        </is>
      </c>
      <c r="C11" s="13">
        <f>C9-C10</f>
        <v/>
      </c>
      <c r="D11" s="13">
        <f>D9-D10</f>
        <v/>
      </c>
      <c r="E11" s="13">
        <f>E9-E10</f>
        <v/>
      </c>
      <c r="F11" s="13">
        <f>F9-F10</f>
        <v/>
      </c>
      <c r="G11" s="13">
        <f>G9-G10</f>
        <v/>
      </c>
      <c r="H11" s="13">
        <f>H9-H10</f>
        <v/>
      </c>
      <c r="I11" s="13">
        <f>I9-I10</f>
        <v/>
      </c>
    </row>
    <row r="12">
      <c r="A12" t="inlineStr">
        <is>
          <t>Bilanz ausgeglichen?</t>
        </is>
      </c>
      <c r="B12" s="3" t="inlineStr">
        <is>
          <t>Toleranz: max(1 EUR; 0,5% der Bilanzsumme)</t>
        </is>
      </c>
      <c r="C12">
        <f>IF(ABS(C11)&lt;=MAX(1,0.005*C9),"OK","FEHLER - Engine bricht ab")</f>
        <v/>
      </c>
      <c r="D12">
        <f>IF(ABS(D11)&lt;=MAX(1,0.005*D9),"OK","FEHLER - Engine bricht ab")</f>
        <v/>
      </c>
      <c r="E12">
        <f>IF(ABS(E11)&lt;=MAX(1,0.005*E9),"OK","FEHLER - Engine bricht ab")</f>
        <v/>
      </c>
      <c r="F12">
        <f>IF(ABS(F11)&lt;=MAX(1,0.005*F9),"OK","FEHLER - Engine bricht ab")</f>
        <v/>
      </c>
      <c r="G12">
        <f>IF(ABS(G11)&lt;=MAX(1,0.005*G9),"OK","FEHLER - Engine bricht ab")</f>
        <v/>
      </c>
      <c r="H12">
        <f>IF(ABS(H11)&lt;=MAX(1,0.005*H9),"OK","FEHLER - Engine bricht ab")</f>
        <v/>
      </c>
      <c r="I12">
        <f>IF(ABS(I11)&lt;=MAX(1,0.005*I9),"OK","FEHLER - Engine bricht ab")</f>
        <v/>
      </c>
    </row>
    <row r="13">
      <c r="A13" t="inlineStr">
        <is>
          <t>Bilanzielles Eigenkapital</t>
        </is>
      </c>
      <c r="B13" s="3" t="inlineStr">
        <is>
          <t>gez. Kapital + Ruecklagen + Vortrag + JUE - ausst. Einlagen</t>
        </is>
      </c>
      <c r="C13" s="13">
        <f>Eingaben!C16+Eingaben!C17+Eingaben!C18+Eingaben!C19+Eingaben!C20-Eingaben!C21</f>
        <v/>
      </c>
      <c r="D13" s="13">
        <f>Eingaben!D16+Eingaben!D17+Eingaben!D18+Eingaben!D19+Eingaben!D20-Eingaben!D21</f>
        <v/>
      </c>
      <c r="E13" s="13">
        <f>Eingaben!E16+Eingaben!E17+Eingaben!E18+Eingaben!E19+Eingaben!E20-Eingaben!E21</f>
        <v/>
      </c>
      <c r="F13" s="13">
        <f>Eingaben!F16+Eingaben!F17+Eingaben!F18+Eingaben!F19+Eingaben!F20-Eingaben!F21</f>
        <v/>
      </c>
      <c r="G13" s="13">
        <f>Eingaben!G16+Eingaben!G17+Eingaben!G18+Eingaben!G19+Eingaben!G20-Eingaben!G21</f>
        <v/>
      </c>
      <c r="H13" s="13">
        <f>Eingaben!H16+Eingaben!H17+Eingaben!H18+Eingaben!H19+Eingaben!H20-Eingaben!H21</f>
        <v/>
      </c>
      <c r="I13" s="13">
        <f>Eingaben!I16+Eingaben!I17+Eingaben!I18+Eingaben!I19+Eingaben!I20-Eingaben!I21</f>
        <v/>
      </c>
    </row>
    <row r="14">
      <c r="A14" t="inlineStr">
        <is>
          <t>Wirtschaftliches Eigenkapital</t>
        </is>
      </c>
      <c r="B14" s="3" t="inlineStr">
        <is>
          <t>+ Gesellschafterdarlehen, wenn Rangruecktritt</t>
        </is>
      </c>
      <c r="C14" s="13">
        <f>C13+IF(Eingaben!C32=1,Eingaben!C31,0)</f>
        <v/>
      </c>
      <c r="D14" s="13">
        <f>D13+IF(Eingaben!D32=1,Eingaben!D31,0)</f>
        <v/>
      </c>
      <c r="E14" s="13">
        <f>E13+IF(Eingaben!E32=1,Eingaben!E31,0)</f>
        <v/>
      </c>
      <c r="F14" s="13">
        <f>F13+IF(Eingaben!F32=1,Eingaben!F31,0)</f>
        <v/>
      </c>
      <c r="G14" s="13">
        <f>G13+IF(Eingaben!G32=1,Eingaben!G31,0)</f>
        <v/>
      </c>
      <c r="H14" s="13">
        <f>H13+IF(Eingaben!H32=1,Eingaben!H31,0)</f>
        <v/>
      </c>
      <c r="I14" s="13">
        <f>I13+IF(Eingaben!I32=1,Eingaben!I31,0)</f>
        <v/>
      </c>
    </row>
    <row r="15">
      <c r="A15" t="inlineStr">
        <is>
          <t>Finanzverbindlichkeiten</t>
        </is>
      </c>
      <c r="B15" s="3" t="inlineStr">
        <is>
          <t>Bankschulden + Ges.darlehen ohne Rangruecktritt</t>
        </is>
      </c>
      <c r="C15" s="13">
        <f>Eingaben!C24+Eingaben!C25+IF(Eingaben!C32=1,0,Eingaben!C31)</f>
        <v/>
      </c>
      <c r="D15" s="13">
        <f>Eingaben!D24+Eingaben!D25+IF(Eingaben!D32=1,0,Eingaben!D31)</f>
        <v/>
      </c>
      <c r="E15" s="13">
        <f>Eingaben!E24+Eingaben!E25+IF(Eingaben!E32=1,0,Eingaben!E31)</f>
        <v/>
      </c>
      <c r="F15" s="13">
        <f>Eingaben!F24+Eingaben!F25+IF(Eingaben!F32=1,0,Eingaben!F31)</f>
        <v/>
      </c>
      <c r="G15" s="13">
        <f>Eingaben!G24+Eingaben!G25+IF(Eingaben!G32=1,0,Eingaben!G31)</f>
        <v/>
      </c>
      <c r="H15" s="13">
        <f>Eingaben!H24+Eingaben!H25+IF(Eingaben!H32=1,0,Eingaben!H31)</f>
        <v/>
      </c>
      <c r="I15" s="13">
        <f>Eingaben!I24+Eingaben!I25+IF(Eingaben!I32=1,0,Eingaben!I31)</f>
        <v/>
      </c>
    </row>
    <row r="16">
      <c r="A16" t="inlineStr">
        <is>
          <t>Nettofinanzverbindlichkeiten</t>
        </is>
      </c>
      <c r="B16" s="3" t="inlineStr">
        <is>
          <t>abzgl. liquide Mittel und Wertpapiere, min. 0</t>
        </is>
      </c>
      <c r="C16" s="13">
        <f>MAX(0,C15-Eingaben!C13-Eingaben!C12)</f>
        <v/>
      </c>
      <c r="D16" s="13">
        <f>MAX(0,D15-Eingaben!D13-Eingaben!D12)</f>
        <v/>
      </c>
      <c r="E16" s="13">
        <f>MAX(0,E15-Eingaben!E13-Eingaben!E12)</f>
        <v/>
      </c>
      <c r="F16" s="13">
        <f>MAX(0,F15-Eingaben!F13-Eingaben!F12)</f>
        <v/>
      </c>
      <c r="G16" s="13">
        <f>MAX(0,G15-Eingaben!G13-Eingaben!G12)</f>
        <v/>
      </c>
      <c r="H16" s="13">
        <f>MAX(0,H15-Eingaben!H13-Eingaben!H12)</f>
        <v/>
      </c>
      <c r="I16" s="13">
        <f>MAX(0,I15-Eingaben!I13-Eingaben!I12)</f>
        <v/>
      </c>
    </row>
    <row r="17">
      <c r="A17" t="inlineStr">
        <is>
          <t>Kurzfristige Verbindlichkeiten</t>
        </is>
      </c>
      <c r="B17" s="3" t="inlineStr">
        <is>
          <t>Bank kurz + L+L + sonstige kurz</t>
        </is>
      </c>
      <c r="C17" s="13">
        <f>Eingaben!C24+Eingaben!C26+Eingaben!C27</f>
        <v/>
      </c>
      <c r="D17" s="13">
        <f>Eingaben!D24+Eingaben!D26+Eingaben!D27</f>
        <v/>
      </c>
      <c r="E17" s="13">
        <f>Eingaben!E24+Eingaben!E26+Eingaben!E27</f>
        <v/>
      </c>
      <c r="F17" s="13">
        <f>Eingaben!F24+Eingaben!F26+Eingaben!F27</f>
        <v/>
      </c>
      <c r="G17" s="13">
        <f>Eingaben!G24+Eingaben!G26+Eingaben!G27</f>
        <v/>
      </c>
      <c r="H17" s="13">
        <f>Eingaben!H24+Eingaben!H26+Eingaben!H27</f>
        <v/>
      </c>
      <c r="I17" s="13">
        <f>Eingaben!I24+Eingaben!I26+Eingaben!I27</f>
        <v/>
      </c>
    </row>
    <row r="18">
      <c r="A18" t="inlineStr">
        <is>
          <t>Langfristiges Kapital</t>
        </is>
      </c>
      <c r="B18" s="3" t="inlineStr">
        <is>
          <t>wirtsch. EK + Bank lang + sonst. lang + Pensionen</t>
        </is>
      </c>
      <c r="C18" s="13">
        <f>C14+Eingaben!C25+Eingaben!C28+Eingaben!C23</f>
        <v/>
      </c>
      <c r="D18" s="13">
        <f>D14+Eingaben!D25+Eingaben!D28+Eingaben!D23</f>
        <v/>
      </c>
      <c r="E18" s="13">
        <f>E14+Eingaben!E25+Eingaben!E28+Eingaben!E23</f>
        <v/>
      </c>
      <c r="F18" s="13">
        <f>F14+Eingaben!F25+Eingaben!F28+Eingaben!F23</f>
        <v/>
      </c>
      <c r="G18" s="13">
        <f>G14+Eingaben!G25+Eingaben!G28+Eingaben!G23</f>
        <v/>
      </c>
      <c r="H18" s="13">
        <f>H14+Eingaben!H25+Eingaben!H28+Eingaben!H23</f>
        <v/>
      </c>
      <c r="I18" s="13">
        <f>I14+Eingaben!I25+Eingaben!I28+Eingaben!I23</f>
        <v/>
      </c>
    </row>
    <row r="19">
      <c r="A19" s="9" t="inlineStr">
        <is>
          <t>ANNUALISIERTE GUV-GROESSEN (ratios.py)</t>
        </is>
      </c>
      <c r="B19" s="10" t="inlineStr">
        <is>
          <t>Flows, annualised</t>
        </is>
      </c>
      <c r="C19" s="11" t="n"/>
      <c r="D19" s="11" t="n"/>
      <c r="E19" s="11" t="n"/>
      <c r="F19" s="11" t="n"/>
      <c r="G19" s="11" t="n"/>
      <c r="H19" s="11" t="n"/>
      <c r="I19" s="11" t="n"/>
    </row>
    <row r="20">
      <c r="A20" t="inlineStr">
        <is>
          <t>Gesamtleistung</t>
        </is>
      </c>
      <c r="B20" s="3" t="inlineStr">
        <is>
          <t>Umsatz + Bestandsveraenderung + sonst. Ertraege</t>
        </is>
      </c>
      <c r="C20" s="13">
        <f>(Eingaben!C38+Eingaben!C39+Eingaben!C40)*C6</f>
        <v/>
      </c>
      <c r="D20" s="13">
        <f>(Eingaben!D38+Eingaben!D39+Eingaben!D40)*D6</f>
        <v/>
      </c>
      <c r="E20" s="13">
        <f>(Eingaben!E38+Eingaben!E39+Eingaben!E40)*E6</f>
        <v/>
      </c>
      <c r="F20" s="13">
        <f>(Eingaben!F38+Eingaben!F39+Eingaben!F40)*F6</f>
        <v/>
      </c>
      <c r="G20" s="13">
        <f>(Eingaben!G38+Eingaben!G39+Eingaben!G40)*G6</f>
        <v/>
      </c>
      <c r="H20" s="13">
        <f>(Eingaben!H38+Eingaben!H39+Eingaben!H40)*H6</f>
        <v/>
      </c>
      <c r="I20" s="13">
        <f>(Eingaben!I38+Eingaben!I39+Eingaben!I40)*I6</f>
        <v/>
      </c>
    </row>
    <row r="21">
      <c r="A21" t="inlineStr">
        <is>
          <t>Umsatz (annualisiert)</t>
        </is>
      </c>
      <c r="B21" s="3" t="inlineStr"/>
      <c r="C21" s="13">
        <f>Eingaben!C38*C6</f>
        <v/>
      </c>
      <c r="D21" s="13">
        <f>Eingaben!D38*D6</f>
        <v/>
      </c>
      <c r="E21" s="13">
        <f>Eingaben!E38*E6</f>
        <v/>
      </c>
      <c r="F21" s="13">
        <f>Eingaben!F38*F6</f>
        <v/>
      </c>
      <c r="G21" s="13">
        <f>Eingaben!G38*G6</f>
        <v/>
      </c>
      <c r="H21" s="13">
        <f>Eingaben!H38*H6</f>
        <v/>
      </c>
      <c r="I21" s="13">
        <f>Eingaben!I38*I6</f>
        <v/>
      </c>
    </row>
    <row r="22">
      <c r="A22" t="inlineStr">
        <is>
          <t>EBITDA (annualisiert)</t>
        </is>
      </c>
      <c r="B22" s="3" t="inlineStr">
        <is>
          <t>Gesamtleistung - Material - Personal - sonst. Aufwand</t>
        </is>
      </c>
      <c r="C22" s="13">
        <f>C20-(Eingaben!C41+Eingaben!C42+Eingaben!C44)*C6</f>
        <v/>
      </c>
      <c r="D22" s="13">
        <f>D20-(Eingaben!D41+Eingaben!D42+Eingaben!D44)*D6</f>
        <v/>
      </c>
      <c r="E22" s="13">
        <f>E20-(Eingaben!E41+Eingaben!E42+Eingaben!E44)*E6</f>
        <v/>
      </c>
      <c r="F22" s="13">
        <f>F20-(Eingaben!F41+Eingaben!F42+Eingaben!F44)*F6</f>
        <v/>
      </c>
      <c r="G22" s="13">
        <f>G20-(Eingaben!G41+Eingaben!G42+Eingaben!G44)*G6</f>
        <v/>
      </c>
      <c r="H22" s="13">
        <f>H20-(Eingaben!H41+Eingaben!H42+Eingaben!H44)*H6</f>
        <v/>
      </c>
      <c r="I22" s="13">
        <f>I20-(Eingaben!I41+Eingaben!I42+Eingaben!I44)*I6</f>
        <v/>
      </c>
    </row>
    <row r="23">
      <c r="A23" t="inlineStr">
        <is>
          <t>EBIT (annualisiert)</t>
        </is>
      </c>
      <c r="B23" s="3" t="inlineStr">
        <is>
          <t>EBITDA - Abschreibungen</t>
        </is>
      </c>
      <c r="C23" s="13">
        <f>C22-Eingaben!C43*C6</f>
        <v/>
      </c>
      <c r="D23" s="13">
        <f>D22-Eingaben!D43*D6</f>
        <v/>
      </c>
      <c r="E23" s="13">
        <f>E22-Eingaben!E43*E6</f>
        <v/>
      </c>
      <c r="F23" s="13">
        <f>F22-Eingaben!F43*F6</f>
        <v/>
      </c>
      <c r="G23" s="13">
        <f>G22-Eingaben!G43*G6</f>
        <v/>
      </c>
      <c r="H23" s="13">
        <f>H22-Eingaben!H43*H6</f>
        <v/>
      </c>
      <c r="I23" s="13">
        <f>I22-Eingaben!I43*I6</f>
        <v/>
      </c>
    </row>
    <row r="24">
      <c r="A24" t="inlineStr">
        <is>
          <t>Zinsaufwand (annualisiert)</t>
        </is>
      </c>
      <c r="B24" s="3" t="inlineStr"/>
      <c r="C24" s="13">
        <f>Eingaben!C46*C6</f>
        <v/>
      </c>
      <c r="D24" s="13">
        <f>Eingaben!D46*D6</f>
        <v/>
      </c>
      <c r="E24" s="13">
        <f>Eingaben!E46*E6</f>
        <v/>
      </c>
      <c r="F24" s="13">
        <f>Eingaben!F46*F6</f>
        <v/>
      </c>
      <c r="G24" s="13">
        <f>Eingaben!G46*G6</f>
        <v/>
      </c>
      <c r="H24" s="13">
        <f>Eingaben!H46*H6</f>
        <v/>
      </c>
      <c r="I24" s="13">
        <f>Eingaben!I46*I6</f>
        <v/>
      </c>
    </row>
    <row r="25">
      <c r="A25" t="inlineStr">
        <is>
          <t>Materialaufwand (annualisiert)</t>
        </is>
      </c>
      <c r="B25" s="3" t="inlineStr"/>
      <c r="C25" s="13">
        <f>Eingaben!C41*C6</f>
        <v/>
      </c>
      <c r="D25" s="13">
        <f>Eingaben!D41*D6</f>
        <v/>
      </c>
      <c r="E25" s="13">
        <f>Eingaben!E41*E6</f>
        <v/>
      </c>
      <c r="F25" s="13">
        <f>Eingaben!F41*F6</f>
        <v/>
      </c>
      <c r="G25" s="13">
        <f>Eingaben!G41*G6</f>
        <v/>
      </c>
      <c r="H25" s="13">
        <f>Eingaben!H41*H6</f>
        <v/>
      </c>
      <c r="I25" s="13">
        <f>Eingaben!I41*I6</f>
        <v/>
      </c>
    </row>
    <row r="26">
      <c r="A26" t="inlineStr">
        <is>
          <t>Jahresueberschuss laut GuV</t>
        </is>
      </c>
      <c r="B26" s="3" t="inlineStr">
        <is>
          <t>EBIT + Zinsertrag - Zinsaufwand - Steuern (nicht annualisiert)</t>
        </is>
      </c>
      <c r="C26" s="13">
        <f>(C23/C6)+Eingaben!C45-Eingaben!C46-Eingaben!C47</f>
        <v/>
      </c>
      <c r="D26" s="13">
        <f>(D23/D6)+Eingaben!D45-Eingaben!D46-Eingaben!D47</f>
        <v/>
      </c>
      <c r="E26" s="13">
        <f>(E23/E6)+Eingaben!E45-Eingaben!E46-Eingaben!E47</f>
        <v/>
      </c>
      <c r="F26" s="13">
        <f>(F23/F6)+Eingaben!F45-Eingaben!F46-Eingaben!F47</f>
        <v/>
      </c>
      <c r="G26" s="13">
        <f>(G23/G6)+Eingaben!G45-Eingaben!G46-Eingaben!G47</f>
        <v/>
      </c>
      <c r="H26" s="13">
        <f>(H23/H6)+Eingaben!H45-Eingaben!H46-Eingaben!H47</f>
        <v/>
      </c>
      <c r="I26" s="13">
        <f>(I23/I6)+Eingaben!I45-Eingaben!I46-Eingaben!I47</f>
        <v/>
      </c>
    </row>
    <row r="27">
      <c r="A27" t="inlineStr">
        <is>
          <t>Ergebnis GuV = Ergebnis Bilanz?</t>
        </is>
      </c>
      <c r="B27" s="3" t="inlineStr">
        <is>
          <t>Nur bei 12-Monats-Periode geprueft</t>
        </is>
      </c>
      <c r="C27">
        <f>IF(Eingaben!C37&lt;&gt;12,"n/a (Rumpfperiode)",IF(ABS(C26-Eingaben!C20)&lt;=MAX(1,0.002*C9),"OK","FEHLER - Engine bricht ab"))</f>
        <v/>
      </c>
      <c r="D27">
        <f>IF(Eingaben!D37&lt;&gt;12,"n/a (Rumpfperiode)",IF(ABS(D26-Eingaben!D20)&lt;=MAX(1,0.002*D9),"OK","FEHLER - Engine bricht ab"))</f>
        <v/>
      </c>
      <c r="E27">
        <f>IF(Eingaben!E37&lt;&gt;12,"n/a (Rumpfperiode)",IF(ABS(E26-Eingaben!E20)&lt;=MAX(1,0.002*E9),"OK","FEHLER - Engine bricht ab"))</f>
        <v/>
      </c>
      <c r="F27">
        <f>IF(Eingaben!F37&lt;&gt;12,"n/a (Rumpfperiode)",IF(ABS(F26-Eingaben!F20)&lt;=MAX(1,0.002*F9),"OK","FEHLER - Engine bricht ab"))</f>
        <v/>
      </c>
      <c r="G27">
        <f>IF(Eingaben!G37&lt;&gt;12,"n/a (Rumpfperiode)",IF(ABS(G26-Eingaben!G20)&lt;=MAX(1,0.002*G9),"OK","FEHLER - Engine bricht ab"))</f>
        <v/>
      </c>
      <c r="H27">
        <f>IF(Eingaben!H37&lt;&gt;12,"n/a (Rumpfperiode)",IF(ABS(H26-Eingaben!H20)&lt;=MAX(1,0.002*H9),"OK","FEHLER - Engine bricht ab"))</f>
        <v/>
      </c>
      <c r="I27">
        <f>IF(Eingaben!I37&lt;&gt;12,"n/a (Rumpfperiode)",IF(ABS(I26-Eingaben!I20)&lt;=MAX(1,0.002*I9),"OK","FEHLER - Engine bricht ab"))</f>
        <v/>
      </c>
    </row>
    <row r="28">
      <c r="A28" s="9" t="inlineStr">
        <is>
          <t>KAPITALDIENST</t>
        </is>
      </c>
      <c r="B28" s="10" t="inlineStr">
        <is>
          <t>Debt service</t>
        </is>
      </c>
      <c r="C28" s="11" t="n"/>
      <c r="D28" s="11" t="n"/>
      <c r="E28" s="11" t="n"/>
      <c r="F28" s="11" t="n"/>
      <c r="G28" s="11" t="n"/>
      <c r="H28" s="11" t="n"/>
      <c r="I28" s="11" t="n"/>
    </row>
    <row r="29">
      <c r="A29" t="inlineStr">
        <is>
          <t>Kapitaldienst (bestehend)</t>
        </is>
      </c>
      <c r="B29" s="3" t="inlineStr">
        <is>
          <t>Zinsen + Tilgung aus der Darlehensliste</t>
        </is>
      </c>
      <c r="C29" s="13">
        <f>Eingaben!C52+Eingaben!C53</f>
        <v/>
      </c>
      <c r="D29" s="13">
        <f>Eingaben!D52+Eingaben!D53</f>
        <v/>
      </c>
      <c r="E29" s="13">
        <f>Eingaben!E52+Eingaben!E53</f>
        <v/>
      </c>
      <c r="F29" s="13">
        <f>Eingaben!F52+Eingaben!F53</f>
        <v/>
      </c>
      <c r="G29" s="13">
        <f>Eingaben!G52+Eingaben!G53</f>
        <v/>
      </c>
      <c r="H29" s="13">
        <f>Eingaben!H52+Eingaben!H53</f>
        <v/>
      </c>
      <c r="I29" s="13">
        <f>Eingaben!I52+Eingaben!I53</f>
        <v/>
      </c>
    </row>
    <row r="30">
      <c r="A30" t="inlineStr">
        <is>
          <t>Annuitaet der neuen Finanzierung</t>
        </is>
      </c>
      <c r="B30" s="3" t="inlineStr">
        <is>
          <t>6,5% p.a., Laufzeit wie beantragt (konservativ)</t>
        </is>
      </c>
      <c r="C30" s="13">
        <f>IF(Eingaben!C55&lt;=0,0,Eingaben!C55*(0.065*(1+0.065)^MAX(1,Eingaben!C56))/((1+0.065)^MAX(1,Eingaben!C56)-1))</f>
        <v/>
      </c>
      <c r="D30" s="13">
        <f>IF(Eingaben!D55&lt;=0,0,Eingaben!D55*(0.065*(1+0.065)^MAX(1,Eingaben!D56))/((1+0.065)^MAX(1,Eingaben!D56)-1))</f>
        <v/>
      </c>
      <c r="E30" s="13">
        <f>IF(Eingaben!E55&lt;=0,0,Eingaben!E55*(0.065*(1+0.065)^MAX(1,Eingaben!E56))/((1+0.065)^MAX(1,Eingaben!E56)-1))</f>
        <v/>
      </c>
      <c r="F30" s="13">
        <f>IF(Eingaben!F55&lt;=0,0,Eingaben!F55*(0.065*(1+0.065)^MAX(1,Eingaben!F56))/((1+0.065)^MAX(1,Eingaben!F56)-1))</f>
        <v/>
      </c>
      <c r="G30" s="13">
        <f>IF(Eingaben!G55&lt;=0,0,Eingaben!G55*(0.065*(1+0.065)^MAX(1,Eingaben!G56))/((1+0.065)^MAX(1,Eingaben!G56)-1))</f>
        <v/>
      </c>
      <c r="H30" s="13">
        <f>IF(Eingaben!H55&lt;=0,0,Eingaben!H55*(0.065*(1+0.065)^MAX(1,Eingaben!H56))/((1+0.065)^MAX(1,Eingaben!H56)-1))</f>
        <v/>
      </c>
      <c r="I30" s="13">
        <f>IF(Eingaben!I55&lt;=0,0,Eingaben!I55*(0.065*(1+0.065)^MAX(1,Eingaben!I56))/((1+0.065)^MAX(1,Eingaben!I56)-1))</f>
        <v/>
      </c>
    </row>
    <row r="31">
      <c r="A31" t="inlineStr">
        <is>
          <t>Kapitaldienst inkl. neuer Finanzierung</t>
        </is>
      </c>
      <c r="B31" s="3" t="inlineStr"/>
      <c r="C31" s="13">
        <f>C29+C30</f>
        <v/>
      </c>
      <c r="D31" s="13">
        <f>D29+D30</f>
        <v/>
      </c>
      <c r="E31" s="13">
        <f>E29+E30</f>
        <v/>
      </c>
      <c r="F31" s="13">
        <f>F29+F30</f>
        <v/>
      </c>
      <c r="G31" s="13">
        <f>G29+G30</f>
        <v/>
      </c>
      <c r="H31" s="13">
        <f>H29+H30</f>
        <v/>
      </c>
      <c r="I31" s="13">
        <f>I29+I30</f>
        <v/>
      </c>
    </row>
    <row r="32">
      <c r="A32" s="9" t="inlineStr">
        <is>
          <t>KENNZAHLEN (ratios.py)</t>
        </is>
      </c>
      <c r="B32" s="10" t="inlineStr">
        <is>
          <t>Ratios</t>
        </is>
      </c>
      <c r="C32" s="11" t="n"/>
      <c r="D32" s="11" t="n"/>
      <c r="E32" s="11" t="n"/>
      <c r="F32" s="11" t="n"/>
      <c r="G32" s="11" t="n"/>
      <c r="H32" s="11" t="n"/>
      <c r="I32" s="11" t="n"/>
    </row>
    <row r="33">
      <c r="A33" t="inlineStr">
        <is>
          <t>Eigenkapitalquote (wirtschaftlich)</t>
        </is>
      </c>
      <c r="B33" s="3" t="inlineStr">
        <is>
          <t>wirtsch. EK / Bilanzsumme  -- Faktor 1</t>
        </is>
      </c>
      <c r="C33" s="17">
        <f>IF(C9=0,"",C14/C9)</f>
        <v/>
      </c>
      <c r="D33" s="17">
        <f>IF(D9=0,"",D14/D9)</f>
        <v/>
      </c>
      <c r="E33" s="17">
        <f>IF(E9=0,"",E14/E9)</f>
        <v/>
      </c>
      <c r="F33" s="17">
        <f>IF(F9=0,"",F14/F9)</f>
        <v/>
      </c>
      <c r="G33" s="17">
        <f>IF(G9=0,"",G14/G9)</f>
        <v/>
      </c>
      <c r="H33" s="17">
        <f>IF(H9=0,"",H14/H9)</f>
        <v/>
      </c>
      <c r="I33" s="17">
        <f>IF(I9=0,"",I14/I9)</f>
        <v/>
      </c>
    </row>
    <row r="34">
      <c r="A34" t="inlineStr">
        <is>
          <t>Eigenkapitalquote (bilanziell)</t>
        </is>
      </c>
      <c r="B34" s="3" t="inlineStr">
        <is>
          <t>nachrichtlich</t>
        </is>
      </c>
      <c r="C34" s="17">
        <f>IF(C9=0,"",C13/C9)</f>
        <v/>
      </c>
      <c r="D34" s="17">
        <f>IF(D9=0,"",D13/D9)</f>
        <v/>
      </c>
      <c r="E34" s="17">
        <f>IF(E9=0,"",E13/E9)</f>
        <v/>
      </c>
      <c r="F34" s="17">
        <f>IF(F9=0,"",F13/F9)</f>
        <v/>
      </c>
      <c r="G34" s="17">
        <f>IF(G9=0,"",G13/G9)</f>
        <v/>
      </c>
      <c r="H34" s="17">
        <f>IF(H9=0,"",H13/H9)</f>
        <v/>
      </c>
      <c r="I34" s="17">
        <f>IF(I9=0,"",I13/I9)</f>
        <v/>
      </c>
    </row>
    <row r="35">
      <c r="A35" t="inlineStr">
        <is>
          <t>Anlagendeckungsgrad II</t>
        </is>
      </c>
      <c r="B35" s="3" t="inlineStr">
        <is>
          <t>langfr. Kapital / Anlagevermoegen -- Regel R06</t>
        </is>
      </c>
      <c r="C35" s="5">
        <f>IF(C7=0,"",C18/C7)</f>
        <v/>
      </c>
      <c r="D35" s="5">
        <f>IF(D7=0,"",D18/D7)</f>
        <v/>
      </c>
      <c r="E35" s="5">
        <f>IF(E7=0,"",E18/E7)</f>
        <v/>
      </c>
      <c r="F35" s="5">
        <f>IF(F7=0,"",F18/F7)</f>
        <v/>
      </c>
      <c r="G35" s="5">
        <f>IF(G7=0,"",G18/G7)</f>
        <v/>
      </c>
      <c r="H35" s="5">
        <f>IF(H7=0,"",H18/H7)</f>
        <v/>
      </c>
      <c r="I35" s="5">
        <f>IF(I7=0,"",I18/I7)</f>
        <v/>
      </c>
    </row>
    <row r="36">
      <c r="A36" t="inlineStr">
        <is>
          <t>Dynamischer Verschuldungsgrad</t>
        </is>
      </c>
      <c r="B36" s="3" t="inlineStr">
        <is>
          <t>Nettoverschuldung / EBITDA -- Faktor 3</t>
        </is>
      </c>
      <c r="C36" s="5">
        <f>IF(C22&lt;=0,"",C16/C22)</f>
        <v/>
      </c>
      <c r="D36" s="5">
        <f>IF(D22&lt;=0,"",D16/D22)</f>
        <v/>
      </c>
      <c r="E36" s="5">
        <f>IF(E22&lt;=0,"",E16/E22)</f>
        <v/>
      </c>
      <c r="F36" s="5">
        <f>IF(F22&lt;=0,"",F16/F22)</f>
        <v/>
      </c>
      <c r="G36" s="5">
        <f>IF(G22&lt;=0,"",G16/G22)</f>
        <v/>
      </c>
      <c r="H36" s="5">
        <f>IF(H22&lt;=0,"",H16/H22)</f>
        <v/>
      </c>
      <c r="I36" s="5">
        <f>IF(I22&lt;=0,"",I16/I22)</f>
        <v/>
      </c>
    </row>
    <row r="37">
      <c r="A37" t="inlineStr">
        <is>
          <t>Kapitaldienstfaehigkeit (bestehend)</t>
        </is>
      </c>
      <c r="B37" s="3" t="inlineStr">
        <is>
          <t>EBITDA / Kapitaldienst</t>
        </is>
      </c>
      <c r="C37" s="5">
        <f>IF(C29&lt;=0,"",C22/C29)</f>
        <v/>
      </c>
      <c r="D37" s="5">
        <f>IF(D29&lt;=0,"",D22/D29)</f>
        <v/>
      </c>
      <c r="E37" s="5">
        <f>IF(E29&lt;=0,"",E22/E29)</f>
        <v/>
      </c>
      <c r="F37" s="5">
        <f>IF(F29&lt;=0,"",F22/F29)</f>
        <v/>
      </c>
      <c r="G37" s="5">
        <f>IF(G29&lt;=0,"",G22/G29)</f>
        <v/>
      </c>
      <c r="H37" s="5">
        <f>IF(H29&lt;=0,"",H22/H29)</f>
        <v/>
      </c>
      <c r="I37" s="5">
        <f>IF(I29&lt;=0,"",I22/I29)</f>
        <v/>
      </c>
    </row>
    <row r="38">
      <c r="A38" t="inlineStr">
        <is>
          <t>Kapitaldienstfaehigkeit inkl. neu</t>
        </is>
      </c>
      <c r="B38" s="3" t="inlineStr">
        <is>
          <t>EBITDA / Kapitaldienst inkl. neu -- Faktor 2</t>
        </is>
      </c>
      <c r="C38" s="5">
        <f>IF(C31&lt;=0,"",C22/C31)</f>
        <v/>
      </c>
      <c r="D38" s="5">
        <f>IF(D31&lt;=0,"",D22/D31)</f>
        <v/>
      </c>
      <c r="E38" s="5">
        <f>IF(E31&lt;=0,"",E22/E31)</f>
        <v/>
      </c>
      <c r="F38" s="5">
        <f>IF(F31&lt;=0,"",F22/F31)</f>
        <v/>
      </c>
      <c r="G38" s="5">
        <f>IF(G31&lt;=0,"",G22/G31)</f>
        <v/>
      </c>
      <c r="H38" s="5">
        <f>IF(H31&lt;=0,"",H22/H31)</f>
        <v/>
      </c>
      <c r="I38" s="5">
        <f>IF(I31&lt;=0,"",I22/I31)</f>
        <v/>
      </c>
    </row>
    <row r="39">
      <c r="A39" t="inlineStr">
        <is>
          <t>Zinsdeckungsgrad</t>
        </is>
      </c>
      <c r="B39" s="3" t="inlineStr">
        <is>
          <t>EBIT / Zinsaufwand -- Faktor 6</t>
        </is>
      </c>
      <c r="C39" s="5">
        <f>IF(C24=0,"",C23/C24)</f>
        <v/>
      </c>
      <c r="D39" s="5">
        <f>IF(D24=0,"",D23/D24)</f>
        <v/>
      </c>
      <c r="E39" s="5">
        <f>IF(E24=0,"",E23/E24)</f>
        <v/>
      </c>
      <c r="F39" s="5">
        <f>IF(F24=0,"",F23/F24)</f>
        <v/>
      </c>
      <c r="G39" s="5">
        <f>IF(G24=0,"",G23/G24)</f>
        <v/>
      </c>
      <c r="H39" s="5">
        <f>IF(H24=0,"",H23/H24)</f>
        <v/>
      </c>
      <c r="I39" s="5">
        <f>IF(I24=0,"",I23/I24)</f>
        <v/>
      </c>
    </row>
    <row r="40">
      <c r="A40" t="inlineStr">
        <is>
          <t>EBITDA-Marge</t>
        </is>
      </c>
      <c r="B40" s="3" t="inlineStr">
        <is>
          <t>nachrichtlich</t>
        </is>
      </c>
      <c r="C40" s="17">
        <f>IF(C21=0,"",C22/C21)</f>
        <v/>
      </c>
      <c r="D40" s="17">
        <f>IF(D21=0,"",D22/D21)</f>
        <v/>
      </c>
      <c r="E40" s="17">
        <f>IF(E21=0,"",E22/E21)</f>
        <v/>
      </c>
      <c r="F40" s="17">
        <f>IF(F21=0,"",F22/F21)</f>
        <v/>
      </c>
      <c r="G40" s="17">
        <f>IF(G21=0,"",G22/G21)</f>
        <v/>
      </c>
      <c r="H40" s="17">
        <f>IF(H21=0,"",H22/H21)</f>
        <v/>
      </c>
      <c r="I40" s="17">
        <f>IF(I21=0,"",I22/I21)</f>
        <v/>
      </c>
    </row>
    <row r="41">
      <c r="A41" t="inlineStr">
        <is>
          <t>EBIT-Marge</t>
        </is>
      </c>
      <c r="B41" s="3" t="inlineStr">
        <is>
          <t>EBIT / Umsatz -- Faktor 4</t>
        </is>
      </c>
      <c r="C41" s="17">
        <f>IF(C21=0,"",C23/C21)</f>
        <v/>
      </c>
      <c r="D41" s="17">
        <f>IF(D21=0,"",D23/D21)</f>
        <v/>
      </c>
      <c r="E41" s="17">
        <f>IF(E21=0,"",E23/E21)</f>
        <v/>
      </c>
      <c r="F41" s="17">
        <f>IF(F21=0,"",F23/F21)</f>
        <v/>
      </c>
      <c r="G41" s="17">
        <f>IF(G21=0,"",G23/G21)</f>
        <v/>
      </c>
      <c r="H41" s="17">
        <f>IF(H21=0,"",H23/H21)</f>
        <v/>
      </c>
      <c r="I41" s="17">
        <f>IF(I21=0,"",I23/I21)</f>
        <v/>
      </c>
    </row>
    <row r="42">
      <c r="A42" t="inlineStr">
        <is>
          <t>Gesamtkapitalrentabilitaet</t>
        </is>
      </c>
      <c r="B42" s="3" t="inlineStr">
        <is>
          <t>EBIT / Bilanzsumme</t>
        </is>
      </c>
      <c r="C42" s="17">
        <f>IF(C9=0,"",C23/C9)</f>
        <v/>
      </c>
      <c r="D42" s="17">
        <f>IF(D9=0,"",D23/D9)</f>
        <v/>
      </c>
      <c r="E42" s="17">
        <f>IF(E9=0,"",E23/E9)</f>
        <v/>
      </c>
      <c r="F42" s="17">
        <f>IF(F9=0,"",F23/F9)</f>
        <v/>
      </c>
      <c r="G42" s="17">
        <f>IF(G9=0,"",G23/G9)</f>
        <v/>
      </c>
      <c r="H42" s="17">
        <f>IF(H9=0,"",H23/H9)</f>
        <v/>
      </c>
      <c r="I42" s="17">
        <f>IF(I9=0,"",I23/I9)</f>
        <v/>
      </c>
    </row>
    <row r="43">
      <c r="A43" t="inlineStr">
        <is>
          <t>Umsatzwachstum</t>
        </is>
      </c>
      <c r="B43" s="3" t="inlineStr">
        <is>
          <t>gegen Vorjahr, annualisiert -- Regel R08</t>
        </is>
      </c>
      <c r="C43" s="17">
        <f>IF(Eingaben!C49&lt;=0,"",(C21-Eingaben!C49*12/Eingaben!C50)/(Eingaben!C49*12/Eingaben!C50))</f>
        <v/>
      </c>
      <c r="D43" s="17">
        <f>IF(Eingaben!D49&lt;=0,"",(D21-Eingaben!D49*12/Eingaben!D50)/(Eingaben!D49*12/Eingaben!D50))</f>
        <v/>
      </c>
      <c r="E43" s="17">
        <f>IF(Eingaben!E49&lt;=0,"",(E21-Eingaben!E49*12/Eingaben!E50)/(Eingaben!E49*12/Eingaben!E50))</f>
        <v/>
      </c>
      <c r="F43" s="17">
        <f>IF(Eingaben!F49&lt;=0,"",(F21-Eingaben!F49*12/Eingaben!F50)/(Eingaben!F49*12/Eingaben!F50))</f>
        <v/>
      </c>
      <c r="G43" s="17">
        <f>IF(Eingaben!G49&lt;=0,"",(G21-Eingaben!G49*12/Eingaben!G50)/(Eingaben!G49*12/Eingaben!G50))</f>
        <v/>
      </c>
      <c r="H43" s="17">
        <f>IF(Eingaben!H49&lt;=0,"",(H21-Eingaben!H49*12/Eingaben!H50)/(Eingaben!H49*12/Eingaben!H50))</f>
        <v/>
      </c>
      <c r="I43" s="17">
        <f>IF(Eingaben!I49&lt;=0,"",(I21-Eingaben!I49*12/Eingaben!I50)/(Eingaben!I49*12/Eingaben!I50))</f>
        <v/>
      </c>
    </row>
    <row r="44">
      <c r="A44" t="inlineStr">
        <is>
          <t>Liquiditaet 2. Grades</t>
        </is>
      </c>
      <c r="B44" s="3" t="inlineStr">
        <is>
          <t>(Forderungen + liquide Mittel + WP) / kurzfr. Verb. -- Faktor 5</t>
        </is>
      </c>
      <c r="C44" s="5">
        <f>IF(C17=0,"",(Eingaben!C10+Eingaben!C13+Eingaben!C12)/C17)</f>
        <v/>
      </c>
      <c r="D44" s="5">
        <f>IF(D17=0,"",(Eingaben!D10+Eingaben!D13+Eingaben!D12)/D17)</f>
        <v/>
      </c>
      <c r="E44" s="5">
        <f>IF(E17=0,"",(Eingaben!E10+Eingaben!E13+Eingaben!E12)/E17)</f>
        <v/>
      </c>
      <c r="F44" s="5">
        <f>IF(F17=0,"",(Eingaben!F10+Eingaben!F13+Eingaben!F12)/F17)</f>
        <v/>
      </c>
      <c r="G44" s="5">
        <f>IF(G17=0,"",(Eingaben!G10+Eingaben!G13+Eingaben!G12)/G17)</f>
        <v/>
      </c>
      <c r="H44" s="5">
        <f>IF(H17=0,"",(Eingaben!H10+Eingaben!H13+Eingaben!H12)/H17)</f>
        <v/>
      </c>
      <c r="I44" s="5">
        <f>IF(I17=0,"",(Eingaben!I10+Eingaben!I13+Eingaben!I12)/I17)</f>
        <v/>
      </c>
    </row>
    <row r="45">
      <c r="A45" t="inlineStr">
        <is>
          <t>Liquiditaet 3. Grades</t>
        </is>
      </c>
      <c r="B45" s="3" t="inlineStr">
        <is>
          <t>Umlaufvermoegen / kurzfr. Verbindlichkeiten</t>
        </is>
      </c>
      <c r="C45" s="5">
        <f>IF(C17=0,"",C8/C17)</f>
        <v/>
      </c>
      <c r="D45" s="5">
        <f>IF(D17=0,"",D8/D17)</f>
        <v/>
      </c>
      <c r="E45" s="5">
        <f>IF(E17=0,"",E8/E17)</f>
        <v/>
      </c>
      <c r="F45" s="5">
        <f>IF(F17=0,"",F8/F17)</f>
        <v/>
      </c>
      <c r="G45" s="5">
        <f>IF(G17=0,"",G8/G17)</f>
        <v/>
      </c>
      <c r="H45" s="5">
        <f>IF(H17=0,"",H8/H17)</f>
        <v/>
      </c>
      <c r="I45" s="5">
        <f>IF(I17=0,"",I8/I17)</f>
        <v/>
      </c>
    </row>
    <row r="46">
      <c r="A46" t="inlineStr">
        <is>
          <t>Working Capital</t>
        </is>
      </c>
      <c r="B46" s="3" t="inlineStr">
        <is>
          <t>UV - kurzfristige Verbindlichkeiten</t>
        </is>
      </c>
      <c r="C46" s="13">
        <f>C8-C17</f>
        <v/>
      </c>
      <c r="D46" s="13">
        <f>D8-D17</f>
        <v/>
      </c>
      <c r="E46" s="13">
        <f>E8-E17</f>
        <v/>
      </c>
      <c r="F46" s="13">
        <f>F8-F17</f>
        <v/>
      </c>
      <c r="G46" s="13">
        <f>G8-G17</f>
        <v/>
      </c>
      <c r="H46" s="13">
        <f>H8-H17</f>
        <v/>
      </c>
      <c r="I46" s="13">
        <f>I8-I17</f>
        <v/>
      </c>
    </row>
    <row r="47">
      <c r="A47" t="inlineStr">
        <is>
          <t>Debitorenlaufzeit (Tage)</t>
        </is>
      </c>
      <c r="B47" s="3" t="inlineStr">
        <is>
          <t>Forderungen / Umsatz x 365 -- Regel R05</t>
        </is>
      </c>
      <c r="C47" s="6">
        <f>IF(C21&lt;=0,"",Eingaben!C10/C21*365)</f>
        <v/>
      </c>
      <c r="D47" s="6">
        <f>IF(D21&lt;=0,"",Eingaben!D10/D21*365)</f>
        <v/>
      </c>
      <c r="E47" s="6">
        <f>IF(E21&lt;=0,"",Eingaben!E10/E21*365)</f>
        <v/>
      </c>
      <c r="F47" s="6">
        <f>IF(F21&lt;=0,"",Eingaben!F10/F21*365)</f>
        <v/>
      </c>
      <c r="G47" s="6">
        <f>IF(G21&lt;=0,"",Eingaben!G10/G21*365)</f>
        <v/>
      </c>
      <c r="H47" s="6">
        <f>IF(H21&lt;=0,"",Eingaben!H10/H21*365)</f>
        <v/>
      </c>
      <c r="I47" s="6">
        <f>IF(I21&lt;=0,"",Eingaben!I10/I21*365)</f>
        <v/>
      </c>
    </row>
    <row r="48">
      <c r="A48" t="inlineStr">
        <is>
          <t>Kreditorenlaufzeit (Tage)</t>
        </is>
      </c>
      <c r="B48" s="3" t="inlineStr">
        <is>
          <t>Verb. L+L / Materialaufwand x 365</t>
        </is>
      </c>
      <c r="C48" s="6">
        <f>IF(C25&lt;=0,"",Eingaben!C26/C25*365)</f>
        <v/>
      </c>
      <c r="D48" s="6">
        <f>IF(D25&lt;=0,"",Eingaben!D26/D25*365)</f>
        <v/>
      </c>
      <c r="E48" s="6">
        <f>IF(E25&lt;=0,"",Eingaben!E26/E25*365)</f>
        <v/>
      </c>
      <c r="F48" s="6">
        <f>IF(F25&lt;=0,"",Eingaben!F26/F25*365)</f>
        <v/>
      </c>
      <c r="G48" s="6">
        <f>IF(G25&lt;=0,"",Eingaben!G26/G25*365)</f>
        <v/>
      </c>
      <c r="H48" s="6">
        <f>IF(H25&lt;=0,"",Eingaben!H26/H25*365)</f>
        <v/>
      </c>
      <c r="I48" s="6">
        <f>IF(I25&lt;=0,"",Eingaben!I26/I25*365)</f>
        <v/>
      </c>
    </row>
    <row r="49">
      <c r="A49" t="inlineStr">
        <is>
          <t>Vorratsreichweite (Tage)</t>
        </is>
      </c>
      <c r="B49" s="3" t="inlineStr">
        <is>
          <t>Vorraete / Materialaufwand x 365 -- Regel R10</t>
        </is>
      </c>
      <c r="C49" s="6">
        <f>IF(C25&lt;=0,"",Eingaben!C9/C25*365)</f>
        <v/>
      </c>
      <c r="D49" s="6">
        <f>IF(D25&lt;=0,"",Eingaben!D9/D25*365)</f>
        <v/>
      </c>
      <c r="E49" s="6">
        <f>IF(E25&lt;=0,"",Eingaben!E9/E25*365)</f>
        <v/>
      </c>
      <c r="F49" s="6">
        <f>IF(F25&lt;=0,"",Eingaben!F9/F25*365)</f>
        <v/>
      </c>
      <c r="G49" s="6">
        <f>IF(G25&lt;=0,"",Eingaben!G9/G25*365)</f>
        <v/>
      </c>
      <c r="H49" s="6">
        <f>IF(H25&lt;=0,"",Eingaben!H9/H25*365)</f>
        <v/>
      </c>
      <c r="I49" s="6">
        <f>IF(I25&lt;=0,"",Eingaben!I9/I25*365)</f>
        <v/>
      </c>
    </row>
    <row r="50">
      <c r="A50" t="inlineStr">
        <is>
          <t>Cash Conversion Cycle (Tage)</t>
        </is>
      </c>
      <c r="B50" s="3" t="inlineStr">
        <is>
          <t>DSO + Vorratsreichweite - DPO</t>
        </is>
      </c>
      <c r="C50" s="6">
        <f>IF(OR(NOT(ISNUMBER(C47)),NOT(ISNUMBER(C48))),"",C47+C49-C48)</f>
        <v/>
      </c>
      <c r="D50" s="6">
        <f>IF(OR(NOT(ISNUMBER(D47)),NOT(ISNUMBER(D48))),"",D47+D49-D48)</f>
        <v/>
      </c>
      <c r="E50" s="6">
        <f>IF(OR(NOT(ISNUMBER(E47)),NOT(ISNUMBER(E48))),"",E47+E49-E48)</f>
        <v/>
      </c>
      <c r="F50" s="6">
        <f>IF(OR(NOT(ISNUMBER(F47)),NOT(ISNUMBER(F48))),"",F47+F49-F48)</f>
        <v/>
      </c>
      <c r="G50" s="6">
        <f>IF(OR(NOT(ISNUMBER(G47)),NOT(ISNUMBER(G48))),"",G47+G49-G48)</f>
        <v/>
      </c>
      <c r="H50" s="6">
        <f>IF(OR(NOT(ISNUMBER(H47)),NOT(ISNUMBER(H48))),"",H47+H49-H48)</f>
        <v/>
      </c>
      <c r="I50" s="6">
        <f>IF(OR(NOT(ISNUMBER(I47)),NOT(ISNUMBER(I48))),"",I47+I49-I48)</f>
        <v/>
      </c>
    </row>
    <row r="51">
      <c r="A51" t="inlineStr">
        <is>
          <t>Kontokorrent-Auslastung</t>
        </is>
      </c>
      <c r="B51" s="3" t="inlineStr">
        <is>
          <t>Inanspruchnahme / Limit -- Faktor 7</t>
        </is>
      </c>
      <c r="C51" s="17">
        <f>IF(Eingaben!C33&lt;=0,"",Eingaben!C34/Eingaben!C33)</f>
        <v/>
      </c>
      <c r="D51" s="17">
        <f>IF(Eingaben!D33&lt;=0,"",Eingaben!D34/Eingaben!D33)</f>
        <v/>
      </c>
      <c r="E51" s="17">
        <f>IF(Eingaben!E33&lt;=0,"",Eingaben!E34/Eingaben!E33)</f>
        <v/>
      </c>
      <c r="F51" s="17">
        <f>IF(Eingaben!F33&lt;=0,"",Eingaben!F34/Eingaben!F33)</f>
        <v/>
      </c>
      <c r="G51" s="17">
        <f>IF(Eingaben!G33&lt;=0,"",Eingaben!G34/Eingaben!G33)</f>
        <v/>
      </c>
      <c r="H51" s="17">
        <f>IF(Eingaben!H33&lt;=0,"",Eingaben!H34/Eingaben!H33)</f>
        <v/>
      </c>
      <c r="I51" s="17">
        <f>IF(Eingaben!I33&lt;=0,"",Eingaben!I34/Eingaben!I33)</f>
        <v/>
      </c>
    </row>
    <row r="52">
      <c r="A52" t="inlineStr">
        <is>
          <t>Zahlungsverhalten-Index (0-100)</t>
        </is>
      </c>
      <c r="B52" s="3" t="inlineStr">
        <is>
          <t>100 - Verzug x2,5 (max 45) - Ruecklast. x12 (max 30) - Steuer 30 - KK-Tage</t>
        </is>
      </c>
      <c r="C52" s="6">
        <f>MAX(0,100-MIN(45,Eingaben!C61*2.5)-MIN(30,Eingaben!C62*12)-IF(Eingaben!C64=1,30,0)-IF(Eingaben!C63&gt;60,15,IF(Eingaben!C63&gt;20,7,0)))</f>
        <v/>
      </c>
      <c r="D52" s="6">
        <f>MAX(0,100-MIN(45,Eingaben!D61*2.5)-MIN(30,Eingaben!D62*12)-IF(Eingaben!D64=1,30,0)-IF(Eingaben!D63&gt;60,15,IF(Eingaben!D63&gt;20,7,0)))</f>
        <v/>
      </c>
      <c r="E52" s="6">
        <f>MAX(0,100-MIN(45,Eingaben!E61*2.5)-MIN(30,Eingaben!E62*12)-IF(Eingaben!E64=1,30,0)-IF(Eingaben!E63&gt;60,15,IF(Eingaben!E63&gt;20,7,0)))</f>
        <v/>
      </c>
      <c r="F52" s="6">
        <f>MAX(0,100-MIN(45,Eingaben!F61*2.5)-MIN(30,Eingaben!F62*12)-IF(Eingaben!F64=1,30,0)-IF(Eingaben!F63&gt;60,15,IF(Eingaben!F63&gt;20,7,0)))</f>
        <v/>
      </c>
      <c r="G52" s="6">
        <f>MAX(0,100-MIN(45,Eingaben!G61*2.5)-MIN(30,Eingaben!G62*12)-IF(Eingaben!G64=1,30,0)-IF(Eingaben!G63&gt;60,15,IF(Eingaben!G63&gt;20,7,0)))</f>
        <v/>
      </c>
      <c r="H52" s="6">
        <f>MAX(0,100-MIN(45,Eingaben!H61*2.5)-MIN(30,Eingaben!H62*12)-IF(Eingaben!H64=1,30,0)-IF(Eingaben!H63&gt;60,15,IF(Eingaben!H63&gt;20,7,0)))</f>
        <v/>
      </c>
      <c r="I52" s="6">
        <f>MAX(0,100-MIN(45,Eingaben!I61*2.5)-MIN(30,Eingaben!I62*12)-IF(Eingaben!I64=1,30,0)-IF(Eingaben!I63&gt;60,15,IF(Eingaben!I63&gt;20,7,0)))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  <col width="15" customWidth="1" min="4" max="4"/>
    <col width="9" customWidth="1" min="5" max="5"/>
    <col width="9" customWidth="1" min="6" max="6"/>
    <col width="15" customWidth="1" min="7" max="7"/>
    <col width="9" customWidth="1" min="8" max="8"/>
    <col width="9" customWidth="1" min="9" max="9"/>
    <col width="15" customWidth="1" min="10" max="10"/>
    <col width="9" customWidth="1" min="11" max="11"/>
    <col width="9" customWidth="1" min="12" max="12"/>
    <col width="15" customWidth="1" min="13" max="13"/>
    <col width="9" customWidth="1" min="14" max="14"/>
    <col width="9" customWidth="1" min="15" max="15"/>
    <col width="15" customWidth="1" min="16" max="16"/>
    <col width="9" customWidth="1" min="17" max="17"/>
    <col width="9" customWidth="1" min="18" max="18"/>
    <col width="15" customWidth="1" min="19" max="19"/>
    <col width="9" customWidth="1" min="20" max="20"/>
    <col width="9" customWidth="1" min="21" max="21"/>
    <col width="15" customWidth="1" min="22" max="22"/>
    <col width="9" customWidth="1" min="23" max="23"/>
    <col width="9" customWidth="1" min="24" max="24"/>
  </cols>
  <sheetData>
    <row r="1">
      <c r="A1" s="1" t="inlineStr">
        <is>
          <t>Scorecard / scoring</t>
        </is>
      </c>
    </row>
    <row r="2">
      <c r="A2" s="3" t="inlineStr">
        <is>
          <t>Je Fall zwei Spalten: der Rohwert und die daraus interpolierten Punkte (0-100).</t>
        </is>
      </c>
    </row>
    <row r="4" ht="30" customHeight="1">
      <c r="A4" s="8" t="inlineStr">
        <is>
          <t>Faktor</t>
        </is>
      </c>
      <c r="B4" s="8" t="inlineStr">
        <is>
          <t>Gewicht</t>
        </is>
      </c>
      <c r="C4" s="8" t="inlineStr">
        <is>
          <t>Einheit</t>
        </is>
      </c>
      <c r="D4" s="8" t="inlineStr">
        <is>
          <t>Ihr Fall</t>
        </is>
      </c>
      <c r="E4" s="8" t="inlineStr">
        <is>
          <t>Punkte</t>
        </is>
      </c>
      <c r="F4" s="8" t="inlineStr">
        <is>
          <t>Beitrag</t>
        </is>
      </c>
      <c r="G4" s="8" t="inlineStr">
        <is>
          <t>Mueller Praezisionstechnik GmbH</t>
        </is>
      </c>
      <c r="H4" s="8" t="inlineStr">
        <is>
          <t>Punkte</t>
        </is>
      </c>
      <c r="I4" s="8" t="inlineStr">
        <is>
          <t>Beitrag</t>
        </is>
      </c>
      <c r="J4" s="8" t="inlineStr">
        <is>
          <t>Nordlicht Handel GmbH &amp; Co. KG</t>
        </is>
      </c>
      <c r="K4" s="8" t="inlineStr">
        <is>
          <t>Punkte</t>
        </is>
      </c>
      <c r="L4" s="8" t="inlineStr">
        <is>
          <t>Beitrag</t>
        </is>
      </c>
      <c r="M4" s="8" t="inlineStr">
        <is>
          <t>Gastro Rheinblick GmbH</t>
        </is>
      </c>
      <c r="N4" s="8" t="inlineStr">
        <is>
          <t>Punkte</t>
        </is>
      </c>
      <c r="O4" s="8" t="inlineStr">
        <is>
          <t>Beitrag</t>
        </is>
      </c>
      <c r="P4" s="8" t="inlineStr">
        <is>
          <t>Datenwerk Consulting GmbH</t>
        </is>
      </c>
      <c r="Q4" s="8" t="inlineStr">
        <is>
          <t>Punkte</t>
        </is>
      </c>
      <c r="R4" s="8" t="inlineStr">
        <is>
          <t>Beitrag</t>
        </is>
      </c>
      <c r="S4" s="8" t="inlineStr">
        <is>
          <t>Ihrig Sanitaer- und Heizungstechnik GmbH</t>
        </is>
      </c>
      <c r="T4" s="8" t="inlineStr">
        <is>
          <t>Punkte</t>
        </is>
      </c>
      <c r="U4" s="8" t="inlineStr">
        <is>
          <t>Beitrag</t>
        </is>
      </c>
      <c r="V4" s="8" t="inlineStr">
        <is>
          <t>Hoffmann Medizintechnik GmbH</t>
        </is>
      </c>
      <c r="W4" s="8" t="inlineStr">
        <is>
          <t>Punkte</t>
        </is>
      </c>
      <c r="X4" s="8" t="inlineStr">
        <is>
          <t>Beitrag</t>
        </is>
      </c>
    </row>
    <row r="5">
      <c r="A5" t="inlineStr">
        <is>
          <t>Eigenkapitalquote (wirtschaftlich)</t>
        </is>
      </c>
      <c r="B5" s="18" t="n">
        <v>0.2</v>
      </c>
      <c r="C5" s="3" t="inlineStr">
        <is>
          <t>percent</t>
        </is>
      </c>
      <c r="D5" s="17">
        <f>IF(Kennzahlen!C33="","",Kennzahlen!C33)</f>
        <v/>
      </c>
      <c r="E5" s="6">
        <f>IF(NOT(ISNUMBER(D5)),"",IF(D5&lt;=INDEX(bpx_eigenkapitalquote,1),INDEX(bpy_eigenkapitalquote,1),IF(D5&gt;=INDEX(bpx_eigenkapitalquote,COUNT(bpx_eigenkapitalquote)),INDEX(bpy_eigenkapitalquote,COUNT(bpx_eigenkapitalquote)),INDEX(bpy_eigenkapitalquote,MATCH(D5,bpx_eigenkapitalquote,1))+(D5-INDEX(bpx_eigenkapitalquote,MATCH(D5,bpx_eigenkapitalquote,1)))/(INDEX(bpx_eigenkapitalquote,MATCH(D5,bpx_eigenkapitalquote,1)+1)-INDEX(bpx_eigenkapitalquote,MATCH(D5,bpx_eigenkapitalquote,1)))*(INDEX(bpy_eigenkapitalquote,MATCH(D5,bpx_eigenkapitalquote,1)+1)-INDEX(bpy_eigenkapitalquote,MATCH(D5,bpx_eigenkapitalquote,1))))))</f>
        <v/>
      </c>
      <c r="F5" s="19">
        <f>IF(ISNUMBER(E5),$B5*E5,0)</f>
        <v/>
      </c>
      <c r="G5" s="17">
        <f>IF(Kennzahlen!D33="","",Kennzahlen!D33)</f>
        <v/>
      </c>
      <c r="H5" s="6">
        <f>IF(NOT(ISNUMBER(G5)),"",IF(G5&lt;=INDEX(bpx_eigenkapitalquote,1),INDEX(bpy_eigenkapitalquote,1),IF(G5&gt;=INDEX(bpx_eigenkapitalquote,COUNT(bpx_eigenkapitalquote)),INDEX(bpy_eigenkapitalquote,COUNT(bpx_eigenkapitalquote)),INDEX(bpy_eigenkapitalquote,MATCH(G5,bpx_eigenkapitalquote,1))+(G5-INDEX(bpx_eigenkapitalquote,MATCH(G5,bpx_eigenkapitalquote,1)))/(INDEX(bpx_eigenkapitalquote,MATCH(G5,bpx_eigenkapitalquote,1)+1)-INDEX(bpx_eigenkapitalquote,MATCH(G5,bpx_eigenkapitalquote,1)))*(INDEX(bpy_eigenkapitalquote,MATCH(G5,bpx_eigenkapitalquote,1)+1)-INDEX(bpy_eigenkapitalquote,MATCH(G5,bpx_eigenkapitalquote,1))))))</f>
        <v/>
      </c>
      <c r="I5" s="19">
        <f>IF(ISNUMBER(H5),$B5*H5,0)</f>
        <v/>
      </c>
      <c r="J5" s="17">
        <f>IF(Kennzahlen!E33="","",Kennzahlen!E33)</f>
        <v/>
      </c>
      <c r="K5" s="6">
        <f>IF(NOT(ISNUMBER(J5)),"",IF(J5&lt;=INDEX(bpx_eigenkapitalquote,1),INDEX(bpy_eigenkapitalquote,1),IF(J5&gt;=INDEX(bpx_eigenkapitalquote,COUNT(bpx_eigenkapitalquote)),INDEX(bpy_eigenkapitalquote,COUNT(bpx_eigenkapitalquote)),INDEX(bpy_eigenkapitalquote,MATCH(J5,bpx_eigenkapitalquote,1))+(J5-INDEX(bpx_eigenkapitalquote,MATCH(J5,bpx_eigenkapitalquote,1)))/(INDEX(bpx_eigenkapitalquote,MATCH(J5,bpx_eigenkapitalquote,1)+1)-INDEX(bpx_eigenkapitalquote,MATCH(J5,bpx_eigenkapitalquote,1)))*(INDEX(bpy_eigenkapitalquote,MATCH(J5,bpx_eigenkapitalquote,1)+1)-INDEX(bpy_eigenkapitalquote,MATCH(J5,bpx_eigenkapitalquote,1))))))</f>
        <v/>
      </c>
      <c r="L5" s="19">
        <f>IF(ISNUMBER(K5),$B5*K5,0)</f>
        <v/>
      </c>
      <c r="M5" s="17">
        <f>IF(Kennzahlen!F33="","",Kennzahlen!F33)</f>
        <v/>
      </c>
      <c r="N5" s="6">
        <f>IF(NOT(ISNUMBER(M5)),"",IF(M5&lt;=INDEX(bpx_eigenkapitalquote,1),INDEX(bpy_eigenkapitalquote,1),IF(M5&gt;=INDEX(bpx_eigenkapitalquote,COUNT(bpx_eigenkapitalquote)),INDEX(bpy_eigenkapitalquote,COUNT(bpx_eigenkapitalquote)),INDEX(bpy_eigenkapitalquote,MATCH(M5,bpx_eigenkapitalquote,1))+(M5-INDEX(bpx_eigenkapitalquote,MATCH(M5,bpx_eigenkapitalquote,1)))/(INDEX(bpx_eigenkapitalquote,MATCH(M5,bpx_eigenkapitalquote,1)+1)-INDEX(bpx_eigenkapitalquote,MATCH(M5,bpx_eigenkapitalquote,1)))*(INDEX(bpy_eigenkapitalquote,MATCH(M5,bpx_eigenkapitalquote,1)+1)-INDEX(bpy_eigenkapitalquote,MATCH(M5,bpx_eigenkapitalquote,1))))))</f>
        <v/>
      </c>
      <c r="O5" s="19">
        <f>IF(ISNUMBER(N5),$B5*N5,0)</f>
        <v/>
      </c>
      <c r="P5" s="17">
        <f>IF(Kennzahlen!G33="","",Kennzahlen!G33)</f>
        <v/>
      </c>
      <c r="Q5" s="6">
        <f>IF(NOT(ISNUMBER(P5)),"",IF(P5&lt;=INDEX(bpx_eigenkapitalquote,1),INDEX(bpy_eigenkapitalquote,1),IF(P5&gt;=INDEX(bpx_eigenkapitalquote,COUNT(bpx_eigenkapitalquote)),INDEX(bpy_eigenkapitalquote,COUNT(bpx_eigenkapitalquote)),INDEX(bpy_eigenkapitalquote,MATCH(P5,bpx_eigenkapitalquote,1))+(P5-INDEX(bpx_eigenkapitalquote,MATCH(P5,bpx_eigenkapitalquote,1)))/(INDEX(bpx_eigenkapitalquote,MATCH(P5,bpx_eigenkapitalquote,1)+1)-INDEX(bpx_eigenkapitalquote,MATCH(P5,bpx_eigenkapitalquote,1)))*(INDEX(bpy_eigenkapitalquote,MATCH(P5,bpx_eigenkapitalquote,1)+1)-INDEX(bpy_eigenkapitalquote,MATCH(P5,bpx_eigenkapitalquote,1))))))</f>
        <v/>
      </c>
      <c r="R5" s="19">
        <f>IF(ISNUMBER(Q5),$B5*Q5,0)</f>
        <v/>
      </c>
      <c r="S5" s="17">
        <f>IF(Kennzahlen!H33="","",Kennzahlen!H33)</f>
        <v/>
      </c>
      <c r="T5" s="6">
        <f>IF(NOT(ISNUMBER(S5)),"",IF(S5&lt;=INDEX(bpx_eigenkapitalquote,1),INDEX(bpy_eigenkapitalquote,1),IF(S5&gt;=INDEX(bpx_eigenkapitalquote,COUNT(bpx_eigenkapitalquote)),INDEX(bpy_eigenkapitalquote,COUNT(bpx_eigenkapitalquote)),INDEX(bpy_eigenkapitalquote,MATCH(S5,bpx_eigenkapitalquote,1))+(S5-INDEX(bpx_eigenkapitalquote,MATCH(S5,bpx_eigenkapitalquote,1)))/(INDEX(bpx_eigenkapitalquote,MATCH(S5,bpx_eigenkapitalquote,1)+1)-INDEX(bpx_eigenkapitalquote,MATCH(S5,bpx_eigenkapitalquote,1)))*(INDEX(bpy_eigenkapitalquote,MATCH(S5,bpx_eigenkapitalquote,1)+1)-INDEX(bpy_eigenkapitalquote,MATCH(S5,bpx_eigenkapitalquote,1))))))</f>
        <v/>
      </c>
      <c r="U5" s="19">
        <f>IF(ISNUMBER(T5),$B5*T5,0)</f>
        <v/>
      </c>
      <c r="V5" s="17">
        <f>IF(Kennzahlen!I33="","",Kennzahlen!I33)</f>
        <v/>
      </c>
      <c r="W5" s="6">
        <f>IF(NOT(ISNUMBER(V5)),"",IF(V5&lt;=INDEX(bpx_eigenkapitalquote,1),INDEX(bpy_eigenkapitalquote,1),IF(V5&gt;=INDEX(bpx_eigenkapitalquote,COUNT(bpx_eigenkapitalquote)),INDEX(bpy_eigenkapitalquote,COUNT(bpx_eigenkapitalquote)),INDEX(bpy_eigenkapitalquote,MATCH(V5,bpx_eigenkapitalquote,1))+(V5-INDEX(bpx_eigenkapitalquote,MATCH(V5,bpx_eigenkapitalquote,1)))/(INDEX(bpx_eigenkapitalquote,MATCH(V5,bpx_eigenkapitalquote,1)+1)-INDEX(bpx_eigenkapitalquote,MATCH(V5,bpx_eigenkapitalquote,1)))*(INDEX(bpy_eigenkapitalquote,MATCH(V5,bpx_eigenkapitalquote,1)+1)-INDEX(bpy_eigenkapitalquote,MATCH(V5,bpx_eigenkapitalquote,1))))))</f>
        <v/>
      </c>
      <c r="X5" s="19">
        <f>IF(ISNUMBER(W5),$B5*W5,0)</f>
        <v/>
      </c>
    </row>
    <row r="6">
      <c r="A6" t="inlineStr">
        <is>
          <t>Kapitaldienstfaehigkeit inkl. neuer Finanzierung (DSCR)</t>
        </is>
      </c>
      <c r="B6" s="18" t="n">
        <v>0.2</v>
      </c>
      <c r="C6" s="3" t="inlineStr">
        <is>
          <t>x</t>
        </is>
      </c>
      <c r="D6" s="5">
        <f>IF(Kennzahlen!C38="","",Kennzahlen!C38)</f>
        <v/>
      </c>
      <c r="E6" s="6">
        <f>IF(NOT(ISNUMBER(D6)),"",IF(D6&lt;=INDEX(bpx_kapitaldienstfaehigkeit_inkl_neu,1),INDEX(bpy_kapitaldienstfaehigkeit_inkl_neu,1),IF(D6&gt;=INDEX(bpx_kapitaldienstfaehigkeit_inkl_neu,COUNT(bpx_kapitaldienstfaehigkeit_inkl_neu)),INDEX(bpy_kapitaldienstfaehigkeit_inkl_neu,COUNT(bpx_kapitaldienstfaehigkeit_inkl_neu)),INDEX(bpy_kapitaldienstfaehigkeit_inkl_neu,MATCH(D6,bpx_kapitaldienstfaehigkeit_inkl_neu,1))+(D6-INDEX(bpx_kapitaldienstfaehigkeit_inkl_neu,MATCH(D6,bpx_kapitaldienstfaehigkeit_inkl_neu,1)))/(INDEX(bpx_kapitaldienstfaehigkeit_inkl_neu,MATCH(D6,bpx_kapitaldienstfaehigkeit_inkl_neu,1)+1)-INDEX(bpx_kapitaldienstfaehigkeit_inkl_neu,MATCH(D6,bpx_kapitaldienstfaehigkeit_inkl_neu,1)))*(INDEX(bpy_kapitaldienstfaehigkeit_inkl_neu,MATCH(D6,bpx_kapitaldienstfaehigkeit_inkl_neu,1)+1)-INDEX(bpy_kapitaldienstfaehigkeit_inkl_neu,MATCH(D6,bpx_kapitaldienstfaehigkeit_inkl_neu,1))))))</f>
        <v/>
      </c>
      <c r="F6" s="19">
        <f>IF(ISNUMBER(E6),$B6*E6,0)</f>
        <v/>
      </c>
      <c r="G6" s="5">
        <f>IF(Kennzahlen!D38="","",Kennzahlen!D38)</f>
        <v/>
      </c>
      <c r="H6" s="6">
        <f>IF(NOT(ISNUMBER(G6)),"",IF(G6&lt;=INDEX(bpx_kapitaldienstfaehigkeit_inkl_neu,1),INDEX(bpy_kapitaldienstfaehigkeit_inkl_neu,1),IF(G6&gt;=INDEX(bpx_kapitaldienstfaehigkeit_inkl_neu,COUNT(bpx_kapitaldienstfaehigkeit_inkl_neu)),INDEX(bpy_kapitaldienstfaehigkeit_inkl_neu,COUNT(bpx_kapitaldienstfaehigkeit_inkl_neu)),INDEX(bpy_kapitaldienstfaehigkeit_inkl_neu,MATCH(G6,bpx_kapitaldienstfaehigkeit_inkl_neu,1))+(G6-INDEX(bpx_kapitaldienstfaehigkeit_inkl_neu,MATCH(G6,bpx_kapitaldienstfaehigkeit_inkl_neu,1)))/(INDEX(bpx_kapitaldienstfaehigkeit_inkl_neu,MATCH(G6,bpx_kapitaldienstfaehigkeit_inkl_neu,1)+1)-INDEX(bpx_kapitaldienstfaehigkeit_inkl_neu,MATCH(G6,bpx_kapitaldienstfaehigkeit_inkl_neu,1)))*(INDEX(bpy_kapitaldienstfaehigkeit_inkl_neu,MATCH(G6,bpx_kapitaldienstfaehigkeit_inkl_neu,1)+1)-INDEX(bpy_kapitaldienstfaehigkeit_inkl_neu,MATCH(G6,bpx_kapitaldienstfaehigkeit_inkl_neu,1))))))</f>
        <v/>
      </c>
      <c r="I6" s="19">
        <f>IF(ISNUMBER(H6),$B6*H6,0)</f>
        <v/>
      </c>
      <c r="J6" s="5">
        <f>IF(Kennzahlen!E38="","",Kennzahlen!E38)</f>
        <v/>
      </c>
      <c r="K6" s="6">
        <f>IF(NOT(ISNUMBER(J6)),"",IF(J6&lt;=INDEX(bpx_kapitaldienstfaehigkeit_inkl_neu,1),INDEX(bpy_kapitaldienstfaehigkeit_inkl_neu,1),IF(J6&gt;=INDEX(bpx_kapitaldienstfaehigkeit_inkl_neu,COUNT(bpx_kapitaldienstfaehigkeit_inkl_neu)),INDEX(bpy_kapitaldienstfaehigkeit_inkl_neu,COUNT(bpx_kapitaldienstfaehigkeit_inkl_neu)),INDEX(bpy_kapitaldienstfaehigkeit_inkl_neu,MATCH(J6,bpx_kapitaldienstfaehigkeit_inkl_neu,1))+(J6-INDEX(bpx_kapitaldienstfaehigkeit_inkl_neu,MATCH(J6,bpx_kapitaldienstfaehigkeit_inkl_neu,1)))/(INDEX(bpx_kapitaldienstfaehigkeit_inkl_neu,MATCH(J6,bpx_kapitaldienstfaehigkeit_inkl_neu,1)+1)-INDEX(bpx_kapitaldienstfaehigkeit_inkl_neu,MATCH(J6,bpx_kapitaldienstfaehigkeit_inkl_neu,1)))*(INDEX(bpy_kapitaldienstfaehigkeit_inkl_neu,MATCH(J6,bpx_kapitaldienstfaehigkeit_inkl_neu,1)+1)-INDEX(bpy_kapitaldienstfaehigkeit_inkl_neu,MATCH(J6,bpx_kapitaldienstfaehigkeit_inkl_neu,1))))))</f>
        <v/>
      </c>
      <c r="L6" s="19">
        <f>IF(ISNUMBER(K6),$B6*K6,0)</f>
        <v/>
      </c>
      <c r="M6" s="5">
        <f>IF(Kennzahlen!F38="","",Kennzahlen!F38)</f>
        <v/>
      </c>
      <c r="N6" s="6">
        <f>IF(NOT(ISNUMBER(M6)),"",IF(M6&lt;=INDEX(bpx_kapitaldienstfaehigkeit_inkl_neu,1),INDEX(bpy_kapitaldienstfaehigkeit_inkl_neu,1),IF(M6&gt;=INDEX(bpx_kapitaldienstfaehigkeit_inkl_neu,COUNT(bpx_kapitaldienstfaehigkeit_inkl_neu)),INDEX(bpy_kapitaldienstfaehigkeit_inkl_neu,COUNT(bpx_kapitaldienstfaehigkeit_inkl_neu)),INDEX(bpy_kapitaldienstfaehigkeit_inkl_neu,MATCH(M6,bpx_kapitaldienstfaehigkeit_inkl_neu,1))+(M6-INDEX(bpx_kapitaldienstfaehigkeit_inkl_neu,MATCH(M6,bpx_kapitaldienstfaehigkeit_inkl_neu,1)))/(INDEX(bpx_kapitaldienstfaehigkeit_inkl_neu,MATCH(M6,bpx_kapitaldienstfaehigkeit_inkl_neu,1)+1)-INDEX(bpx_kapitaldienstfaehigkeit_inkl_neu,MATCH(M6,bpx_kapitaldienstfaehigkeit_inkl_neu,1)))*(INDEX(bpy_kapitaldienstfaehigkeit_inkl_neu,MATCH(M6,bpx_kapitaldienstfaehigkeit_inkl_neu,1)+1)-INDEX(bpy_kapitaldienstfaehigkeit_inkl_neu,MATCH(M6,bpx_kapitaldienstfaehigkeit_inkl_neu,1))))))</f>
        <v/>
      </c>
      <c r="O6" s="19">
        <f>IF(ISNUMBER(N6),$B6*N6,0)</f>
        <v/>
      </c>
      <c r="P6" s="5">
        <f>IF(Kennzahlen!G38="","",Kennzahlen!G38)</f>
        <v/>
      </c>
      <c r="Q6" s="6">
        <f>IF(NOT(ISNUMBER(P6)),"",IF(P6&lt;=INDEX(bpx_kapitaldienstfaehigkeit_inkl_neu,1),INDEX(bpy_kapitaldienstfaehigkeit_inkl_neu,1),IF(P6&gt;=INDEX(bpx_kapitaldienstfaehigkeit_inkl_neu,COUNT(bpx_kapitaldienstfaehigkeit_inkl_neu)),INDEX(bpy_kapitaldienstfaehigkeit_inkl_neu,COUNT(bpx_kapitaldienstfaehigkeit_inkl_neu)),INDEX(bpy_kapitaldienstfaehigkeit_inkl_neu,MATCH(P6,bpx_kapitaldienstfaehigkeit_inkl_neu,1))+(P6-INDEX(bpx_kapitaldienstfaehigkeit_inkl_neu,MATCH(P6,bpx_kapitaldienstfaehigkeit_inkl_neu,1)))/(INDEX(bpx_kapitaldienstfaehigkeit_inkl_neu,MATCH(P6,bpx_kapitaldienstfaehigkeit_inkl_neu,1)+1)-INDEX(bpx_kapitaldienstfaehigkeit_inkl_neu,MATCH(P6,bpx_kapitaldienstfaehigkeit_inkl_neu,1)))*(INDEX(bpy_kapitaldienstfaehigkeit_inkl_neu,MATCH(P6,bpx_kapitaldienstfaehigkeit_inkl_neu,1)+1)-INDEX(bpy_kapitaldienstfaehigkeit_inkl_neu,MATCH(P6,bpx_kapitaldienstfaehigkeit_inkl_neu,1))))))</f>
        <v/>
      </c>
      <c r="R6" s="19">
        <f>IF(ISNUMBER(Q6),$B6*Q6,0)</f>
        <v/>
      </c>
      <c r="S6" s="5">
        <f>IF(Kennzahlen!H38="","",Kennzahlen!H38)</f>
        <v/>
      </c>
      <c r="T6" s="6">
        <f>IF(NOT(ISNUMBER(S6)),"",IF(S6&lt;=INDEX(bpx_kapitaldienstfaehigkeit_inkl_neu,1),INDEX(bpy_kapitaldienstfaehigkeit_inkl_neu,1),IF(S6&gt;=INDEX(bpx_kapitaldienstfaehigkeit_inkl_neu,COUNT(bpx_kapitaldienstfaehigkeit_inkl_neu)),INDEX(bpy_kapitaldienstfaehigkeit_inkl_neu,COUNT(bpx_kapitaldienstfaehigkeit_inkl_neu)),INDEX(bpy_kapitaldienstfaehigkeit_inkl_neu,MATCH(S6,bpx_kapitaldienstfaehigkeit_inkl_neu,1))+(S6-INDEX(bpx_kapitaldienstfaehigkeit_inkl_neu,MATCH(S6,bpx_kapitaldienstfaehigkeit_inkl_neu,1)))/(INDEX(bpx_kapitaldienstfaehigkeit_inkl_neu,MATCH(S6,bpx_kapitaldienstfaehigkeit_inkl_neu,1)+1)-INDEX(bpx_kapitaldienstfaehigkeit_inkl_neu,MATCH(S6,bpx_kapitaldienstfaehigkeit_inkl_neu,1)))*(INDEX(bpy_kapitaldienstfaehigkeit_inkl_neu,MATCH(S6,bpx_kapitaldienstfaehigkeit_inkl_neu,1)+1)-INDEX(bpy_kapitaldienstfaehigkeit_inkl_neu,MATCH(S6,bpx_kapitaldienstfaehigkeit_inkl_neu,1))))))</f>
        <v/>
      </c>
      <c r="U6" s="19">
        <f>IF(ISNUMBER(T6),$B6*T6,0)</f>
        <v/>
      </c>
      <c r="V6" s="5">
        <f>IF(Kennzahlen!I38="","",Kennzahlen!I38)</f>
        <v/>
      </c>
      <c r="W6" s="6">
        <f>IF(NOT(ISNUMBER(V6)),"",IF(V6&lt;=INDEX(bpx_kapitaldienstfaehigkeit_inkl_neu,1),INDEX(bpy_kapitaldienstfaehigkeit_inkl_neu,1),IF(V6&gt;=INDEX(bpx_kapitaldienstfaehigkeit_inkl_neu,COUNT(bpx_kapitaldienstfaehigkeit_inkl_neu)),INDEX(bpy_kapitaldienstfaehigkeit_inkl_neu,COUNT(bpx_kapitaldienstfaehigkeit_inkl_neu)),INDEX(bpy_kapitaldienstfaehigkeit_inkl_neu,MATCH(V6,bpx_kapitaldienstfaehigkeit_inkl_neu,1))+(V6-INDEX(bpx_kapitaldienstfaehigkeit_inkl_neu,MATCH(V6,bpx_kapitaldienstfaehigkeit_inkl_neu,1)))/(INDEX(bpx_kapitaldienstfaehigkeit_inkl_neu,MATCH(V6,bpx_kapitaldienstfaehigkeit_inkl_neu,1)+1)-INDEX(bpx_kapitaldienstfaehigkeit_inkl_neu,MATCH(V6,bpx_kapitaldienstfaehigkeit_inkl_neu,1)))*(INDEX(bpy_kapitaldienstfaehigkeit_inkl_neu,MATCH(V6,bpx_kapitaldienstfaehigkeit_inkl_neu,1)+1)-INDEX(bpy_kapitaldienstfaehigkeit_inkl_neu,MATCH(V6,bpx_kapitaldienstfaehigkeit_inkl_neu,1))))))</f>
        <v/>
      </c>
      <c r="X6" s="19">
        <f>IF(ISNUMBER(W6),$B6*W6,0)</f>
        <v/>
      </c>
    </row>
    <row r="7">
      <c r="A7" t="inlineStr">
        <is>
          <t>Dynamischer Verschuldungsgrad (Nettoverschuldung / EBITDA)</t>
        </is>
      </c>
      <c r="B7" s="18" t="n">
        <v>0.15</v>
      </c>
      <c r="C7" s="3" t="inlineStr">
        <is>
          <t>x</t>
        </is>
      </c>
      <c r="D7" s="5">
        <f>IF(Kennzahlen!C36="","",Kennzahlen!C36)</f>
        <v/>
      </c>
      <c r="E7" s="6">
        <f>IF(Kennzahlen!C22&lt;=0,0,IF(NOT(ISNUMBER(D7)),"",IF(D7&lt;=INDEX(bpx_dynamischer_verschuldungsgrad,1),INDEX(bpy_dynamischer_verschuldungsgrad,1),IF(D7&gt;=INDEX(bpx_dynamischer_verschuldungsgrad,COUNT(bpx_dynamischer_verschuldungsgrad)),INDEX(bpy_dynamischer_verschuldungsgrad,COUNT(bpx_dynamischer_verschuldungsgrad)),INDEX(bpy_dynamischer_verschuldungsgrad,MATCH(D7,bpx_dynamischer_verschuldungsgrad,1))+(D7-INDEX(bpx_dynamischer_verschuldungsgrad,MATCH(D7,bpx_dynamischer_verschuldungsgrad,1)))/(INDEX(bpx_dynamischer_verschuldungsgrad,MATCH(D7,bpx_dynamischer_verschuldungsgrad,1)+1)-INDEX(bpx_dynamischer_verschuldungsgrad,MATCH(D7,bpx_dynamischer_verschuldungsgrad,1)))*(INDEX(bpy_dynamischer_verschuldungsgrad,MATCH(D7,bpx_dynamischer_verschuldungsgrad,1)+1)-INDEX(bpy_dynamischer_verschuldungsgrad,MATCH(D7,bpx_dynamischer_verschuldungsgrad,1)))))))</f>
        <v/>
      </c>
      <c r="F7" s="19">
        <f>IF(ISNUMBER(E7),$B7*E7,0)</f>
        <v/>
      </c>
      <c r="G7" s="5">
        <f>IF(Kennzahlen!D36="","",Kennzahlen!D36)</f>
        <v/>
      </c>
      <c r="H7" s="6">
        <f>IF(Kennzahlen!D22&lt;=0,0,IF(NOT(ISNUMBER(G7)),"",IF(G7&lt;=INDEX(bpx_dynamischer_verschuldungsgrad,1),INDEX(bpy_dynamischer_verschuldungsgrad,1),IF(G7&gt;=INDEX(bpx_dynamischer_verschuldungsgrad,COUNT(bpx_dynamischer_verschuldungsgrad)),INDEX(bpy_dynamischer_verschuldungsgrad,COUNT(bpx_dynamischer_verschuldungsgrad)),INDEX(bpy_dynamischer_verschuldungsgrad,MATCH(G7,bpx_dynamischer_verschuldungsgrad,1))+(G7-INDEX(bpx_dynamischer_verschuldungsgrad,MATCH(G7,bpx_dynamischer_verschuldungsgrad,1)))/(INDEX(bpx_dynamischer_verschuldungsgrad,MATCH(G7,bpx_dynamischer_verschuldungsgrad,1)+1)-INDEX(bpx_dynamischer_verschuldungsgrad,MATCH(G7,bpx_dynamischer_verschuldungsgrad,1)))*(INDEX(bpy_dynamischer_verschuldungsgrad,MATCH(G7,bpx_dynamischer_verschuldungsgrad,1)+1)-INDEX(bpy_dynamischer_verschuldungsgrad,MATCH(G7,bpx_dynamischer_verschuldungsgrad,1)))))))</f>
        <v/>
      </c>
      <c r="I7" s="19">
        <f>IF(ISNUMBER(H7),$B7*H7,0)</f>
        <v/>
      </c>
      <c r="J7" s="5">
        <f>IF(Kennzahlen!E36="","",Kennzahlen!E36)</f>
        <v/>
      </c>
      <c r="K7" s="6">
        <f>IF(Kennzahlen!E22&lt;=0,0,IF(NOT(ISNUMBER(J7)),"",IF(J7&lt;=INDEX(bpx_dynamischer_verschuldungsgrad,1),INDEX(bpy_dynamischer_verschuldungsgrad,1),IF(J7&gt;=INDEX(bpx_dynamischer_verschuldungsgrad,COUNT(bpx_dynamischer_verschuldungsgrad)),INDEX(bpy_dynamischer_verschuldungsgrad,COUNT(bpx_dynamischer_verschuldungsgrad)),INDEX(bpy_dynamischer_verschuldungsgrad,MATCH(J7,bpx_dynamischer_verschuldungsgrad,1))+(J7-INDEX(bpx_dynamischer_verschuldungsgrad,MATCH(J7,bpx_dynamischer_verschuldungsgrad,1)))/(INDEX(bpx_dynamischer_verschuldungsgrad,MATCH(J7,bpx_dynamischer_verschuldungsgrad,1)+1)-INDEX(bpx_dynamischer_verschuldungsgrad,MATCH(J7,bpx_dynamischer_verschuldungsgrad,1)))*(INDEX(bpy_dynamischer_verschuldungsgrad,MATCH(J7,bpx_dynamischer_verschuldungsgrad,1)+1)-INDEX(bpy_dynamischer_verschuldungsgrad,MATCH(J7,bpx_dynamischer_verschuldungsgrad,1)))))))</f>
        <v/>
      </c>
      <c r="L7" s="19">
        <f>IF(ISNUMBER(K7),$B7*K7,0)</f>
        <v/>
      </c>
      <c r="M7" s="5">
        <f>IF(Kennzahlen!F36="","",Kennzahlen!F36)</f>
        <v/>
      </c>
      <c r="N7" s="6">
        <f>IF(Kennzahlen!F22&lt;=0,0,IF(NOT(ISNUMBER(M7)),"",IF(M7&lt;=INDEX(bpx_dynamischer_verschuldungsgrad,1),INDEX(bpy_dynamischer_verschuldungsgrad,1),IF(M7&gt;=INDEX(bpx_dynamischer_verschuldungsgrad,COUNT(bpx_dynamischer_verschuldungsgrad)),INDEX(bpy_dynamischer_verschuldungsgrad,COUNT(bpx_dynamischer_verschuldungsgrad)),INDEX(bpy_dynamischer_verschuldungsgrad,MATCH(M7,bpx_dynamischer_verschuldungsgrad,1))+(M7-INDEX(bpx_dynamischer_verschuldungsgrad,MATCH(M7,bpx_dynamischer_verschuldungsgrad,1)))/(INDEX(bpx_dynamischer_verschuldungsgrad,MATCH(M7,bpx_dynamischer_verschuldungsgrad,1)+1)-INDEX(bpx_dynamischer_verschuldungsgrad,MATCH(M7,bpx_dynamischer_verschuldungsgrad,1)))*(INDEX(bpy_dynamischer_verschuldungsgrad,MATCH(M7,bpx_dynamischer_verschuldungsgrad,1)+1)-INDEX(bpy_dynamischer_verschuldungsgrad,MATCH(M7,bpx_dynamischer_verschuldungsgrad,1)))))))</f>
        <v/>
      </c>
      <c r="O7" s="19">
        <f>IF(ISNUMBER(N7),$B7*N7,0)</f>
        <v/>
      </c>
      <c r="P7" s="5">
        <f>IF(Kennzahlen!G36="","",Kennzahlen!G36)</f>
        <v/>
      </c>
      <c r="Q7" s="6">
        <f>IF(Kennzahlen!G22&lt;=0,0,IF(NOT(ISNUMBER(P7)),"",IF(P7&lt;=INDEX(bpx_dynamischer_verschuldungsgrad,1),INDEX(bpy_dynamischer_verschuldungsgrad,1),IF(P7&gt;=INDEX(bpx_dynamischer_verschuldungsgrad,COUNT(bpx_dynamischer_verschuldungsgrad)),INDEX(bpy_dynamischer_verschuldungsgrad,COUNT(bpx_dynamischer_verschuldungsgrad)),INDEX(bpy_dynamischer_verschuldungsgrad,MATCH(P7,bpx_dynamischer_verschuldungsgrad,1))+(P7-INDEX(bpx_dynamischer_verschuldungsgrad,MATCH(P7,bpx_dynamischer_verschuldungsgrad,1)))/(INDEX(bpx_dynamischer_verschuldungsgrad,MATCH(P7,bpx_dynamischer_verschuldungsgrad,1)+1)-INDEX(bpx_dynamischer_verschuldungsgrad,MATCH(P7,bpx_dynamischer_verschuldungsgrad,1)))*(INDEX(bpy_dynamischer_verschuldungsgrad,MATCH(P7,bpx_dynamischer_verschuldungsgrad,1)+1)-INDEX(bpy_dynamischer_verschuldungsgrad,MATCH(P7,bpx_dynamischer_verschuldungsgrad,1)))))))</f>
        <v/>
      </c>
      <c r="R7" s="19">
        <f>IF(ISNUMBER(Q7),$B7*Q7,0)</f>
        <v/>
      </c>
      <c r="S7" s="5">
        <f>IF(Kennzahlen!H36="","",Kennzahlen!H36)</f>
        <v/>
      </c>
      <c r="T7" s="6">
        <f>IF(Kennzahlen!H22&lt;=0,0,IF(NOT(ISNUMBER(S7)),"",IF(S7&lt;=INDEX(bpx_dynamischer_verschuldungsgrad,1),INDEX(bpy_dynamischer_verschuldungsgrad,1),IF(S7&gt;=INDEX(bpx_dynamischer_verschuldungsgrad,COUNT(bpx_dynamischer_verschuldungsgrad)),INDEX(bpy_dynamischer_verschuldungsgrad,COUNT(bpx_dynamischer_verschuldungsgrad)),INDEX(bpy_dynamischer_verschuldungsgrad,MATCH(S7,bpx_dynamischer_verschuldungsgrad,1))+(S7-INDEX(bpx_dynamischer_verschuldungsgrad,MATCH(S7,bpx_dynamischer_verschuldungsgrad,1)))/(INDEX(bpx_dynamischer_verschuldungsgrad,MATCH(S7,bpx_dynamischer_verschuldungsgrad,1)+1)-INDEX(bpx_dynamischer_verschuldungsgrad,MATCH(S7,bpx_dynamischer_verschuldungsgrad,1)))*(INDEX(bpy_dynamischer_verschuldungsgrad,MATCH(S7,bpx_dynamischer_verschuldungsgrad,1)+1)-INDEX(bpy_dynamischer_verschuldungsgrad,MATCH(S7,bpx_dynamischer_verschuldungsgrad,1)))))))</f>
        <v/>
      </c>
      <c r="U7" s="19">
        <f>IF(ISNUMBER(T7),$B7*T7,0)</f>
        <v/>
      </c>
      <c r="V7" s="5">
        <f>IF(Kennzahlen!I36="","",Kennzahlen!I36)</f>
        <v/>
      </c>
      <c r="W7" s="6">
        <f>IF(Kennzahlen!I22&lt;=0,0,IF(NOT(ISNUMBER(V7)),"",IF(V7&lt;=INDEX(bpx_dynamischer_verschuldungsgrad,1),INDEX(bpy_dynamischer_verschuldungsgrad,1),IF(V7&gt;=INDEX(bpx_dynamischer_verschuldungsgrad,COUNT(bpx_dynamischer_verschuldungsgrad)),INDEX(bpy_dynamischer_verschuldungsgrad,COUNT(bpx_dynamischer_verschuldungsgrad)),INDEX(bpy_dynamischer_verschuldungsgrad,MATCH(V7,bpx_dynamischer_verschuldungsgrad,1))+(V7-INDEX(bpx_dynamischer_verschuldungsgrad,MATCH(V7,bpx_dynamischer_verschuldungsgrad,1)))/(INDEX(bpx_dynamischer_verschuldungsgrad,MATCH(V7,bpx_dynamischer_verschuldungsgrad,1)+1)-INDEX(bpx_dynamischer_verschuldungsgrad,MATCH(V7,bpx_dynamischer_verschuldungsgrad,1)))*(INDEX(bpy_dynamischer_verschuldungsgrad,MATCH(V7,bpx_dynamischer_verschuldungsgrad,1)+1)-INDEX(bpy_dynamischer_verschuldungsgrad,MATCH(V7,bpx_dynamischer_verschuldungsgrad,1)))))))</f>
        <v/>
      </c>
      <c r="X7" s="19">
        <f>IF(ISNUMBER(W7),$B7*W7,0)</f>
        <v/>
      </c>
    </row>
    <row r="8">
      <c r="A8" t="inlineStr">
        <is>
          <t>EBIT-Marge</t>
        </is>
      </c>
      <c r="B8" s="18" t="n">
        <v>0.12</v>
      </c>
      <c r="C8" s="3" t="inlineStr">
        <is>
          <t>percent</t>
        </is>
      </c>
      <c r="D8" s="17">
        <f>IF(Kennzahlen!C41="","",Kennzahlen!C41)</f>
        <v/>
      </c>
      <c r="E8" s="6">
        <f>IF(NOT(ISNUMBER(D8)),"",IF(D8&lt;=INDEX(bpx_ebit_marge,1),INDEX(bpy_ebit_marge,1),IF(D8&gt;=INDEX(bpx_ebit_marge,COUNT(bpx_ebit_marge)),INDEX(bpy_ebit_marge,COUNT(bpx_ebit_marge)),INDEX(bpy_ebit_marge,MATCH(D8,bpx_ebit_marge,1))+(D8-INDEX(bpx_ebit_marge,MATCH(D8,bpx_ebit_marge,1)))/(INDEX(bpx_ebit_marge,MATCH(D8,bpx_ebit_marge,1)+1)-INDEX(bpx_ebit_marge,MATCH(D8,bpx_ebit_marge,1)))*(INDEX(bpy_ebit_marge,MATCH(D8,bpx_ebit_marge,1)+1)-INDEX(bpy_ebit_marge,MATCH(D8,bpx_ebit_marge,1))))))</f>
        <v/>
      </c>
      <c r="F8" s="19">
        <f>IF(ISNUMBER(E8),$B8*E8,0)</f>
        <v/>
      </c>
      <c r="G8" s="17">
        <f>IF(Kennzahlen!D41="","",Kennzahlen!D41)</f>
        <v/>
      </c>
      <c r="H8" s="6">
        <f>IF(NOT(ISNUMBER(G8)),"",IF(G8&lt;=INDEX(bpx_ebit_marge,1),INDEX(bpy_ebit_marge,1),IF(G8&gt;=INDEX(bpx_ebit_marge,COUNT(bpx_ebit_marge)),INDEX(bpy_ebit_marge,COUNT(bpx_ebit_marge)),INDEX(bpy_ebit_marge,MATCH(G8,bpx_ebit_marge,1))+(G8-INDEX(bpx_ebit_marge,MATCH(G8,bpx_ebit_marge,1)))/(INDEX(bpx_ebit_marge,MATCH(G8,bpx_ebit_marge,1)+1)-INDEX(bpx_ebit_marge,MATCH(G8,bpx_ebit_marge,1)))*(INDEX(bpy_ebit_marge,MATCH(G8,bpx_ebit_marge,1)+1)-INDEX(bpy_ebit_marge,MATCH(G8,bpx_ebit_marge,1))))))</f>
        <v/>
      </c>
      <c r="I8" s="19">
        <f>IF(ISNUMBER(H8),$B8*H8,0)</f>
        <v/>
      </c>
      <c r="J8" s="17">
        <f>IF(Kennzahlen!E41="","",Kennzahlen!E41)</f>
        <v/>
      </c>
      <c r="K8" s="6">
        <f>IF(NOT(ISNUMBER(J8)),"",IF(J8&lt;=INDEX(bpx_ebit_marge,1),INDEX(bpy_ebit_marge,1),IF(J8&gt;=INDEX(bpx_ebit_marge,COUNT(bpx_ebit_marge)),INDEX(bpy_ebit_marge,COUNT(bpx_ebit_marge)),INDEX(bpy_ebit_marge,MATCH(J8,bpx_ebit_marge,1))+(J8-INDEX(bpx_ebit_marge,MATCH(J8,bpx_ebit_marge,1)))/(INDEX(bpx_ebit_marge,MATCH(J8,bpx_ebit_marge,1)+1)-INDEX(bpx_ebit_marge,MATCH(J8,bpx_ebit_marge,1)))*(INDEX(bpy_ebit_marge,MATCH(J8,bpx_ebit_marge,1)+1)-INDEX(bpy_ebit_marge,MATCH(J8,bpx_ebit_marge,1))))))</f>
        <v/>
      </c>
      <c r="L8" s="19">
        <f>IF(ISNUMBER(K8),$B8*K8,0)</f>
        <v/>
      </c>
      <c r="M8" s="17">
        <f>IF(Kennzahlen!F41="","",Kennzahlen!F41)</f>
        <v/>
      </c>
      <c r="N8" s="6">
        <f>IF(NOT(ISNUMBER(M8)),"",IF(M8&lt;=INDEX(bpx_ebit_marge,1),INDEX(bpy_ebit_marge,1),IF(M8&gt;=INDEX(bpx_ebit_marge,COUNT(bpx_ebit_marge)),INDEX(bpy_ebit_marge,COUNT(bpx_ebit_marge)),INDEX(bpy_ebit_marge,MATCH(M8,bpx_ebit_marge,1))+(M8-INDEX(bpx_ebit_marge,MATCH(M8,bpx_ebit_marge,1)))/(INDEX(bpx_ebit_marge,MATCH(M8,bpx_ebit_marge,1)+1)-INDEX(bpx_ebit_marge,MATCH(M8,bpx_ebit_marge,1)))*(INDEX(bpy_ebit_marge,MATCH(M8,bpx_ebit_marge,1)+1)-INDEX(bpy_ebit_marge,MATCH(M8,bpx_ebit_marge,1))))))</f>
        <v/>
      </c>
      <c r="O8" s="19">
        <f>IF(ISNUMBER(N8),$B8*N8,0)</f>
        <v/>
      </c>
      <c r="P8" s="17">
        <f>IF(Kennzahlen!G41="","",Kennzahlen!G41)</f>
        <v/>
      </c>
      <c r="Q8" s="6">
        <f>IF(NOT(ISNUMBER(P8)),"",IF(P8&lt;=INDEX(bpx_ebit_marge,1),INDEX(bpy_ebit_marge,1),IF(P8&gt;=INDEX(bpx_ebit_marge,COUNT(bpx_ebit_marge)),INDEX(bpy_ebit_marge,COUNT(bpx_ebit_marge)),INDEX(bpy_ebit_marge,MATCH(P8,bpx_ebit_marge,1))+(P8-INDEX(bpx_ebit_marge,MATCH(P8,bpx_ebit_marge,1)))/(INDEX(bpx_ebit_marge,MATCH(P8,bpx_ebit_marge,1)+1)-INDEX(bpx_ebit_marge,MATCH(P8,bpx_ebit_marge,1)))*(INDEX(bpy_ebit_marge,MATCH(P8,bpx_ebit_marge,1)+1)-INDEX(bpy_ebit_marge,MATCH(P8,bpx_ebit_marge,1))))))</f>
        <v/>
      </c>
      <c r="R8" s="19">
        <f>IF(ISNUMBER(Q8),$B8*Q8,0)</f>
        <v/>
      </c>
      <c r="S8" s="17">
        <f>IF(Kennzahlen!H41="","",Kennzahlen!H41)</f>
        <v/>
      </c>
      <c r="T8" s="6">
        <f>IF(NOT(ISNUMBER(S8)),"",IF(S8&lt;=INDEX(bpx_ebit_marge,1),INDEX(bpy_ebit_marge,1),IF(S8&gt;=INDEX(bpx_ebit_marge,COUNT(bpx_ebit_marge)),INDEX(bpy_ebit_marge,COUNT(bpx_ebit_marge)),INDEX(bpy_ebit_marge,MATCH(S8,bpx_ebit_marge,1))+(S8-INDEX(bpx_ebit_marge,MATCH(S8,bpx_ebit_marge,1)))/(INDEX(bpx_ebit_marge,MATCH(S8,bpx_ebit_marge,1)+1)-INDEX(bpx_ebit_marge,MATCH(S8,bpx_ebit_marge,1)))*(INDEX(bpy_ebit_marge,MATCH(S8,bpx_ebit_marge,1)+1)-INDEX(bpy_ebit_marge,MATCH(S8,bpx_ebit_marge,1))))))</f>
        <v/>
      </c>
      <c r="U8" s="19">
        <f>IF(ISNUMBER(T8),$B8*T8,0)</f>
        <v/>
      </c>
      <c r="V8" s="17">
        <f>IF(Kennzahlen!I41="","",Kennzahlen!I41)</f>
        <v/>
      </c>
      <c r="W8" s="6">
        <f>IF(NOT(ISNUMBER(V8)),"",IF(V8&lt;=INDEX(bpx_ebit_marge,1),INDEX(bpy_ebit_marge,1),IF(V8&gt;=INDEX(bpx_ebit_marge,COUNT(bpx_ebit_marge)),INDEX(bpy_ebit_marge,COUNT(bpx_ebit_marge)),INDEX(bpy_ebit_marge,MATCH(V8,bpx_ebit_marge,1))+(V8-INDEX(bpx_ebit_marge,MATCH(V8,bpx_ebit_marge,1)))/(INDEX(bpx_ebit_marge,MATCH(V8,bpx_ebit_marge,1)+1)-INDEX(bpx_ebit_marge,MATCH(V8,bpx_ebit_marge,1)))*(INDEX(bpy_ebit_marge,MATCH(V8,bpx_ebit_marge,1)+1)-INDEX(bpy_ebit_marge,MATCH(V8,bpx_ebit_marge,1))))))</f>
        <v/>
      </c>
      <c r="X8" s="19">
        <f>IF(ISNUMBER(W8),$B8*W8,0)</f>
        <v/>
      </c>
    </row>
    <row r="9">
      <c r="A9" t="inlineStr">
        <is>
          <t>Liquiditaet 2. Grades</t>
        </is>
      </c>
      <c r="B9" s="18" t="n">
        <v>0.08</v>
      </c>
      <c r="C9" s="3" t="inlineStr">
        <is>
          <t>percent</t>
        </is>
      </c>
      <c r="D9" s="17">
        <f>IF(Kennzahlen!C44="","",Kennzahlen!C44)</f>
        <v/>
      </c>
      <c r="E9" s="6">
        <f>IF(NOT(ISNUMBER(D9)),"",IF(D9&lt;=INDEX(bpx_liquiditaet_2_grades,1),INDEX(bpy_liquiditaet_2_grades,1),IF(D9&gt;=INDEX(bpx_liquiditaet_2_grades,COUNT(bpx_liquiditaet_2_grades)),INDEX(bpy_liquiditaet_2_grades,COUNT(bpx_liquiditaet_2_grades)),INDEX(bpy_liquiditaet_2_grades,MATCH(D9,bpx_liquiditaet_2_grades,1))+(D9-INDEX(bpx_liquiditaet_2_grades,MATCH(D9,bpx_liquiditaet_2_grades,1)))/(INDEX(bpx_liquiditaet_2_grades,MATCH(D9,bpx_liquiditaet_2_grades,1)+1)-INDEX(bpx_liquiditaet_2_grades,MATCH(D9,bpx_liquiditaet_2_grades,1)))*(INDEX(bpy_liquiditaet_2_grades,MATCH(D9,bpx_liquiditaet_2_grades,1)+1)-INDEX(bpy_liquiditaet_2_grades,MATCH(D9,bpx_liquiditaet_2_grades,1))))))</f>
        <v/>
      </c>
      <c r="F9" s="19">
        <f>IF(ISNUMBER(E9),$B9*E9,0)</f>
        <v/>
      </c>
      <c r="G9" s="17">
        <f>IF(Kennzahlen!D44="","",Kennzahlen!D44)</f>
        <v/>
      </c>
      <c r="H9" s="6">
        <f>IF(NOT(ISNUMBER(G9)),"",IF(G9&lt;=INDEX(bpx_liquiditaet_2_grades,1),INDEX(bpy_liquiditaet_2_grades,1),IF(G9&gt;=INDEX(bpx_liquiditaet_2_grades,COUNT(bpx_liquiditaet_2_grades)),INDEX(bpy_liquiditaet_2_grades,COUNT(bpx_liquiditaet_2_grades)),INDEX(bpy_liquiditaet_2_grades,MATCH(G9,bpx_liquiditaet_2_grades,1))+(G9-INDEX(bpx_liquiditaet_2_grades,MATCH(G9,bpx_liquiditaet_2_grades,1)))/(INDEX(bpx_liquiditaet_2_grades,MATCH(G9,bpx_liquiditaet_2_grades,1)+1)-INDEX(bpx_liquiditaet_2_grades,MATCH(G9,bpx_liquiditaet_2_grades,1)))*(INDEX(bpy_liquiditaet_2_grades,MATCH(G9,bpx_liquiditaet_2_grades,1)+1)-INDEX(bpy_liquiditaet_2_grades,MATCH(G9,bpx_liquiditaet_2_grades,1))))))</f>
        <v/>
      </c>
      <c r="I9" s="19">
        <f>IF(ISNUMBER(H9),$B9*H9,0)</f>
        <v/>
      </c>
      <c r="J9" s="17">
        <f>IF(Kennzahlen!E44="","",Kennzahlen!E44)</f>
        <v/>
      </c>
      <c r="K9" s="6">
        <f>IF(NOT(ISNUMBER(J9)),"",IF(J9&lt;=INDEX(bpx_liquiditaet_2_grades,1),INDEX(bpy_liquiditaet_2_grades,1),IF(J9&gt;=INDEX(bpx_liquiditaet_2_grades,COUNT(bpx_liquiditaet_2_grades)),INDEX(bpy_liquiditaet_2_grades,COUNT(bpx_liquiditaet_2_grades)),INDEX(bpy_liquiditaet_2_grades,MATCH(J9,bpx_liquiditaet_2_grades,1))+(J9-INDEX(bpx_liquiditaet_2_grades,MATCH(J9,bpx_liquiditaet_2_grades,1)))/(INDEX(bpx_liquiditaet_2_grades,MATCH(J9,bpx_liquiditaet_2_grades,1)+1)-INDEX(bpx_liquiditaet_2_grades,MATCH(J9,bpx_liquiditaet_2_grades,1)))*(INDEX(bpy_liquiditaet_2_grades,MATCH(J9,bpx_liquiditaet_2_grades,1)+1)-INDEX(bpy_liquiditaet_2_grades,MATCH(J9,bpx_liquiditaet_2_grades,1))))))</f>
        <v/>
      </c>
      <c r="L9" s="19">
        <f>IF(ISNUMBER(K9),$B9*K9,0)</f>
        <v/>
      </c>
      <c r="M9" s="17">
        <f>IF(Kennzahlen!F44="","",Kennzahlen!F44)</f>
        <v/>
      </c>
      <c r="N9" s="6">
        <f>IF(NOT(ISNUMBER(M9)),"",IF(M9&lt;=INDEX(bpx_liquiditaet_2_grades,1),INDEX(bpy_liquiditaet_2_grades,1),IF(M9&gt;=INDEX(bpx_liquiditaet_2_grades,COUNT(bpx_liquiditaet_2_grades)),INDEX(bpy_liquiditaet_2_grades,COUNT(bpx_liquiditaet_2_grades)),INDEX(bpy_liquiditaet_2_grades,MATCH(M9,bpx_liquiditaet_2_grades,1))+(M9-INDEX(bpx_liquiditaet_2_grades,MATCH(M9,bpx_liquiditaet_2_grades,1)))/(INDEX(bpx_liquiditaet_2_grades,MATCH(M9,bpx_liquiditaet_2_grades,1)+1)-INDEX(bpx_liquiditaet_2_grades,MATCH(M9,bpx_liquiditaet_2_grades,1)))*(INDEX(bpy_liquiditaet_2_grades,MATCH(M9,bpx_liquiditaet_2_grades,1)+1)-INDEX(bpy_liquiditaet_2_grades,MATCH(M9,bpx_liquiditaet_2_grades,1))))))</f>
        <v/>
      </c>
      <c r="O9" s="19">
        <f>IF(ISNUMBER(N9),$B9*N9,0)</f>
        <v/>
      </c>
      <c r="P9" s="17">
        <f>IF(Kennzahlen!G44="","",Kennzahlen!G44)</f>
        <v/>
      </c>
      <c r="Q9" s="6">
        <f>IF(NOT(ISNUMBER(P9)),"",IF(P9&lt;=INDEX(bpx_liquiditaet_2_grades,1),INDEX(bpy_liquiditaet_2_grades,1),IF(P9&gt;=INDEX(bpx_liquiditaet_2_grades,COUNT(bpx_liquiditaet_2_grades)),INDEX(bpy_liquiditaet_2_grades,COUNT(bpx_liquiditaet_2_grades)),INDEX(bpy_liquiditaet_2_grades,MATCH(P9,bpx_liquiditaet_2_grades,1))+(P9-INDEX(bpx_liquiditaet_2_grades,MATCH(P9,bpx_liquiditaet_2_grades,1)))/(INDEX(bpx_liquiditaet_2_grades,MATCH(P9,bpx_liquiditaet_2_grades,1)+1)-INDEX(bpx_liquiditaet_2_grades,MATCH(P9,bpx_liquiditaet_2_grades,1)))*(INDEX(bpy_liquiditaet_2_grades,MATCH(P9,bpx_liquiditaet_2_grades,1)+1)-INDEX(bpy_liquiditaet_2_grades,MATCH(P9,bpx_liquiditaet_2_grades,1))))))</f>
        <v/>
      </c>
      <c r="R9" s="19">
        <f>IF(ISNUMBER(Q9),$B9*Q9,0)</f>
        <v/>
      </c>
      <c r="S9" s="17">
        <f>IF(Kennzahlen!H44="","",Kennzahlen!H44)</f>
        <v/>
      </c>
      <c r="T9" s="6">
        <f>IF(NOT(ISNUMBER(S9)),"",IF(S9&lt;=INDEX(bpx_liquiditaet_2_grades,1),INDEX(bpy_liquiditaet_2_grades,1),IF(S9&gt;=INDEX(bpx_liquiditaet_2_grades,COUNT(bpx_liquiditaet_2_grades)),INDEX(bpy_liquiditaet_2_grades,COUNT(bpx_liquiditaet_2_grades)),INDEX(bpy_liquiditaet_2_grades,MATCH(S9,bpx_liquiditaet_2_grades,1))+(S9-INDEX(bpx_liquiditaet_2_grades,MATCH(S9,bpx_liquiditaet_2_grades,1)))/(INDEX(bpx_liquiditaet_2_grades,MATCH(S9,bpx_liquiditaet_2_grades,1)+1)-INDEX(bpx_liquiditaet_2_grades,MATCH(S9,bpx_liquiditaet_2_grades,1)))*(INDEX(bpy_liquiditaet_2_grades,MATCH(S9,bpx_liquiditaet_2_grades,1)+1)-INDEX(bpy_liquiditaet_2_grades,MATCH(S9,bpx_liquiditaet_2_grades,1))))))</f>
        <v/>
      </c>
      <c r="U9" s="19">
        <f>IF(ISNUMBER(T9),$B9*T9,0)</f>
        <v/>
      </c>
      <c r="V9" s="17">
        <f>IF(Kennzahlen!I44="","",Kennzahlen!I44)</f>
        <v/>
      </c>
      <c r="W9" s="6">
        <f>IF(NOT(ISNUMBER(V9)),"",IF(V9&lt;=INDEX(bpx_liquiditaet_2_grades,1),INDEX(bpy_liquiditaet_2_grades,1),IF(V9&gt;=INDEX(bpx_liquiditaet_2_grades,COUNT(bpx_liquiditaet_2_grades)),INDEX(bpy_liquiditaet_2_grades,COUNT(bpx_liquiditaet_2_grades)),INDEX(bpy_liquiditaet_2_grades,MATCH(V9,bpx_liquiditaet_2_grades,1))+(V9-INDEX(bpx_liquiditaet_2_grades,MATCH(V9,bpx_liquiditaet_2_grades,1)))/(INDEX(bpx_liquiditaet_2_grades,MATCH(V9,bpx_liquiditaet_2_grades,1)+1)-INDEX(bpx_liquiditaet_2_grades,MATCH(V9,bpx_liquiditaet_2_grades,1)))*(INDEX(bpy_liquiditaet_2_grades,MATCH(V9,bpx_liquiditaet_2_grades,1)+1)-INDEX(bpy_liquiditaet_2_grades,MATCH(V9,bpx_liquiditaet_2_grades,1))))))</f>
        <v/>
      </c>
      <c r="X9" s="19">
        <f>IF(ISNUMBER(W9),$B9*W9,0)</f>
        <v/>
      </c>
    </row>
    <row r="10">
      <c r="A10" t="inlineStr">
        <is>
          <t>Zinsdeckungsgrad (EBIT / Zinsaufwand)</t>
        </is>
      </c>
      <c r="B10" s="18" t="n">
        <v>0.05</v>
      </c>
      <c r="C10" s="3" t="inlineStr">
        <is>
          <t>x</t>
        </is>
      </c>
      <c r="D10" s="5">
        <f>IF(Kennzahlen!C39="","",Kennzahlen!C39)</f>
        <v/>
      </c>
      <c r="E10" s="6">
        <f>IF(NOT(ISNUMBER(D10)),"",IF(D10&lt;=INDEX(bpx_zinsdeckungsgrad,1),INDEX(bpy_zinsdeckungsgrad,1),IF(D10&gt;=INDEX(bpx_zinsdeckungsgrad,COUNT(bpx_zinsdeckungsgrad)),INDEX(bpy_zinsdeckungsgrad,COUNT(bpx_zinsdeckungsgrad)),INDEX(bpy_zinsdeckungsgrad,MATCH(D10,bpx_zinsdeckungsgrad,1))+(D10-INDEX(bpx_zinsdeckungsgrad,MATCH(D10,bpx_zinsdeckungsgrad,1)))/(INDEX(bpx_zinsdeckungsgrad,MATCH(D10,bpx_zinsdeckungsgrad,1)+1)-INDEX(bpx_zinsdeckungsgrad,MATCH(D10,bpx_zinsdeckungsgrad,1)))*(INDEX(bpy_zinsdeckungsgrad,MATCH(D10,bpx_zinsdeckungsgrad,1)+1)-INDEX(bpy_zinsdeckungsgrad,MATCH(D10,bpx_zinsdeckungsgrad,1))))))</f>
        <v/>
      </c>
      <c r="F10" s="19">
        <f>IF(ISNUMBER(E10),$B10*E10,0)</f>
        <v/>
      </c>
      <c r="G10" s="5">
        <f>IF(Kennzahlen!D39="","",Kennzahlen!D39)</f>
        <v/>
      </c>
      <c r="H10" s="6">
        <f>IF(NOT(ISNUMBER(G10)),"",IF(G10&lt;=INDEX(bpx_zinsdeckungsgrad,1),INDEX(bpy_zinsdeckungsgrad,1),IF(G10&gt;=INDEX(bpx_zinsdeckungsgrad,COUNT(bpx_zinsdeckungsgrad)),INDEX(bpy_zinsdeckungsgrad,COUNT(bpx_zinsdeckungsgrad)),INDEX(bpy_zinsdeckungsgrad,MATCH(G10,bpx_zinsdeckungsgrad,1))+(G10-INDEX(bpx_zinsdeckungsgrad,MATCH(G10,bpx_zinsdeckungsgrad,1)))/(INDEX(bpx_zinsdeckungsgrad,MATCH(G10,bpx_zinsdeckungsgrad,1)+1)-INDEX(bpx_zinsdeckungsgrad,MATCH(G10,bpx_zinsdeckungsgrad,1)))*(INDEX(bpy_zinsdeckungsgrad,MATCH(G10,bpx_zinsdeckungsgrad,1)+1)-INDEX(bpy_zinsdeckungsgrad,MATCH(G10,bpx_zinsdeckungsgrad,1))))))</f>
        <v/>
      </c>
      <c r="I10" s="19">
        <f>IF(ISNUMBER(H10),$B10*H10,0)</f>
        <v/>
      </c>
      <c r="J10" s="5">
        <f>IF(Kennzahlen!E39="","",Kennzahlen!E39)</f>
        <v/>
      </c>
      <c r="K10" s="6">
        <f>IF(NOT(ISNUMBER(J10)),"",IF(J10&lt;=INDEX(bpx_zinsdeckungsgrad,1),INDEX(bpy_zinsdeckungsgrad,1),IF(J10&gt;=INDEX(bpx_zinsdeckungsgrad,COUNT(bpx_zinsdeckungsgrad)),INDEX(bpy_zinsdeckungsgrad,COUNT(bpx_zinsdeckungsgrad)),INDEX(bpy_zinsdeckungsgrad,MATCH(J10,bpx_zinsdeckungsgrad,1))+(J10-INDEX(bpx_zinsdeckungsgrad,MATCH(J10,bpx_zinsdeckungsgrad,1)))/(INDEX(bpx_zinsdeckungsgrad,MATCH(J10,bpx_zinsdeckungsgrad,1)+1)-INDEX(bpx_zinsdeckungsgrad,MATCH(J10,bpx_zinsdeckungsgrad,1)))*(INDEX(bpy_zinsdeckungsgrad,MATCH(J10,bpx_zinsdeckungsgrad,1)+1)-INDEX(bpy_zinsdeckungsgrad,MATCH(J10,bpx_zinsdeckungsgrad,1))))))</f>
        <v/>
      </c>
      <c r="L10" s="19">
        <f>IF(ISNUMBER(K10),$B10*K10,0)</f>
        <v/>
      </c>
      <c r="M10" s="5">
        <f>IF(Kennzahlen!F39="","",Kennzahlen!F39)</f>
        <v/>
      </c>
      <c r="N10" s="6">
        <f>IF(NOT(ISNUMBER(M10)),"",IF(M10&lt;=INDEX(bpx_zinsdeckungsgrad,1),INDEX(bpy_zinsdeckungsgrad,1),IF(M10&gt;=INDEX(bpx_zinsdeckungsgrad,COUNT(bpx_zinsdeckungsgrad)),INDEX(bpy_zinsdeckungsgrad,COUNT(bpx_zinsdeckungsgrad)),INDEX(bpy_zinsdeckungsgrad,MATCH(M10,bpx_zinsdeckungsgrad,1))+(M10-INDEX(bpx_zinsdeckungsgrad,MATCH(M10,bpx_zinsdeckungsgrad,1)))/(INDEX(bpx_zinsdeckungsgrad,MATCH(M10,bpx_zinsdeckungsgrad,1)+1)-INDEX(bpx_zinsdeckungsgrad,MATCH(M10,bpx_zinsdeckungsgrad,1)))*(INDEX(bpy_zinsdeckungsgrad,MATCH(M10,bpx_zinsdeckungsgrad,1)+1)-INDEX(bpy_zinsdeckungsgrad,MATCH(M10,bpx_zinsdeckungsgrad,1))))))</f>
        <v/>
      </c>
      <c r="O10" s="19">
        <f>IF(ISNUMBER(N10),$B10*N10,0)</f>
        <v/>
      </c>
      <c r="P10" s="5">
        <f>IF(Kennzahlen!G39="","",Kennzahlen!G39)</f>
        <v/>
      </c>
      <c r="Q10" s="6">
        <f>IF(NOT(ISNUMBER(P10)),"",IF(P10&lt;=INDEX(bpx_zinsdeckungsgrad,1),INDEX(bpy_zinsdeckungsgrad,1),IF(P10&gt;=INDEX(bpx_zinsdeckungsgrad,COUNT(bpx_zinsdeckungsgrad)),INDEX(bpy_zinsdeckungsgrad,COUNT(bpx_zinsdeckungsgrad)),INDEX(bpy_zinsdeckungsgrad,MATCH(P10,bpx_zinsdeckungsgrad,1))+(P10-INDEX(bpx_zinsdeckungsgrad,MATCH(P10,bpx_zinsdeckungsgrad,1)))/(INDEX(bpx_zinsdeckungsgrad,MATCH(P10,bpx_zinsdeckungsgrad,1)+1)-INDEX(bpx_zinsdeckungsgrad,MATCH(P10,bpx_zinsdeckungsgrad,1)))*(INDEX(bpy_zinsdeckungsgrad,MATCH(P10,bpx_zinsdeckungsgrad,1)+1)-INDEX(bpy_zinsdeckungsgrad,MATCH(P10,bpx_zinsdeckungsgrad,1))))))</f>
        <v/>
      </c>
      <c r="R10" s="19">
        <f>IF(ISNUMBER(Q10),$B10*Q10,0)</f>
        <v/>
      </c>
      <c r="S10" s="5">
        <f>IF(Kennzahlen!H39="","",Kennzahlen!H39)</f>
        <v/>
      </c>
      <c r="T10" s="6">
        <f>IF(NOT(ISNUMBER(S10)),"",IF(S10&lt;=INDEX(bpx_zinsdeckungsgrad,1),INDEX(bpy_zinsdeckungsgrad,1),IF(S10&gt;=INDEX(bpx_zinsdeckungsgrad,COUNT(bpx_zinsdeckungsgrad)),INDEX(bpy_zinsdeckungsgrad,COUNT(bpx_zinsdeckungsgrad)),INDEX(bpy_zinsdeckungsgrad,MATCH(S10,bpx_zinsdeckungsgrad,1))+(S10-INDEX(bpx_zinsdeckungsgrad,MATCH(S10,bpx_zinsdeckungsgrad,1)))/(INDEX(bpx_zinsdeckungsgrad,MATCH(S10,bpx_zinsdeckungsgrad,1)+1)-INDEX(bpx_zinsdeckungsgrad,MATCH(S10,bpx_zinsdeckungsgrad,1)))*(INDEX(bpy_zinsdeckungsgrad,MATCH(S10,bpx_zinsdeckungsgrad,1)+1)-INDEX(bpy_zinsdeckungsgrad,MATCH(S10,bpx_zinsdeckungsgrad,1))))))</f>
        <v/>
      </c>
      <c r="U10" s="19">
        <f>IF(ISNUMBER(T10),$B10*T10,0)</f>
        <v/>
      </c>
      <c r="V10" s="5">
        <f>IF(Kennzahlen!I39="","",Kennzahlen!I39)</f>
        <v/>
      </c>
      <c r="W10" s="6">
        <f>IF(NOT(ISNUMBER(V10)),"",IF(V10&lt;=INDEX(bpx_zinsdeckungsgrad,1),INDEX(bpy_zinsdeckungsgrad,1),IF(V10&gt;=INDEX(bpx_zinsdeckungsgrad,COUNT(bpx_zinsdeckungsgrad)),INDEX(bpy_zinsdeckungsgrad,COUNT(bpx_zinsdeckungsgrad)),INDEX(bpy_zinsdeckungsgrad,MATCH(V10,bpx_zinsdeckungsgrad,1))+(V10-INDEX(bpx_zinsdeckungsgrad,MATCH(V10,bpx_zinsdeckungsgrad,1)))/(INDEX(bpx_zinsdeckungsgrad,MATCH(V10,bpx_zinsdeckungsgrad,1)+1)-INDEX(bpx_zinsdeckungsgrad,MATCH(V10,bpx_zinsdeckungsgrad,1)))*(INDEX(bpy_zinsdeckungsgrad,MATCH(V10,bpx_zinsdeckungsgrad,1)+1)-INDEX(bpy_zinsdeckungsgrad,MATCH(V10,bpx_zinsdeckungsgrad,1))))))</f>
        <v/>
      </c>
      <c r="X10" s="19">
        <f>IF(ISNUMBER(W10),$B10*W10,0)</f>
        <v/>
      </c>
    </row>
    <row r="11">
      <c r="A11" t="inlineStr">
        <is>
          <t>Kontokorrent-Auslastung</t>
        </is>
      </c>
      <c r="B11" s="18" t="n">
        <v>0.06</v>
      </c>
      <c r="C11" s="3" t="inlineStr">
        <is>
          <t>percent</t>
        </is>
      </c>
      <c r="D11" s="17">
        <f>IF(Kennzahlen!C51="","",Kennzahlen!C51)</f>
        <v/>
      </c>
      <c r="E11" s="6">
        <f>IF(NOT(ISNUMBER(D11)),"",IF(D11&lt;=INDEX(bpx_kontokorrent_auslastung,1),INDEX(bpy_kontokorrent_auslastung,1),IF(D11&gt;=INDEX(bpx_kontokorrent_auslastung,COUNT(bpx_kontokorrent_auslastung)),INDEX(bpy_kontokorrent_auslastung,COUNT(bpx_kontokorrent_auslastung)),INDEX(bpy_kontokorrent_auslastung,MATCH(D11,bpx_kontokorrent_auslastung,1))+(D11-INDEX(bpx_kontokorrent_auslastung,MATCH(D11,bpx_kontokorrent_auslastung,1)))/(INDEX(bpx_kontokorrent_auslastung,MATCH(D11,bpx_kontokorrent_auslastung,1)+1)-INDEX(bpx_kontokorrent_auslastung,MATCH(D11,bpx_kontokorrent_auslastung,1)))*(INDEX(bpy_kontokorrent_auslastung,MATCH(D11,bpx_kontokorrent_auslastung,1)+1)-INDEX(bpy_kontokorrent_auslastung,MATCH(D11,bpx_kontokorrent_auslastung,1))))))</f>
        <v/>
      </c>
      <c r="F11" s="19">
        <f>IF(ISNUMBER(E11),$B11*E11,0)</f>
        <v/>
      </c>
      <c r="G11" s="17">
        <f>IF(Kennzahlen!D51="","",Kennzahlen!D51)</f>
        <v/>
      </c>
      <c r="H11" s="6">
        <f>IF(NOT(ISNUMBER(G11)),"",IF(G11&lt;=INDEX(bpx_kontokorrent_auslastung,1),INDEX(bpy_kontokorrent_auslastung,1),IF(G11&gt;=INDEX(bpx_kontokorrent_auslastung,COUNT(bpx_kontokorrent_auslastung)),INDEX(bpy_kontokorrent_auslastung,COUNT(bpx_kontokorrent_auslastung)),INDEX(bpy_kontokorrent_auslastung,MATCH(G11,bpx_kontokorrent_auslastung,1))+(G11-INDEX(bpx_kontokorrent_auslastung,MATCH(G11,bpx_kontokorrent_auslastung,1)))/(INDEX(bpx_kontokorrent_auslastung,MATCH(G11,bpx_kontokorrent_auslastung,1)+1)-INDEX(bpx_kontokorrent_auslastung,MATCH(G11,bpx_kontokorrent_auslastung,1)))*(INDEX(bpy_kontokorrent_auslastung,MATCH(G11,bpx_kontokorrent_auslastung,1)+1)-INDEX(bpy_kontokorrent_auslastung,MATCH(G11,bpx_kontokorrent_auslastung,1))))))</f>
        <v/>
      </c>
      <c r="I11" s="19">
        <f>IF(ISNUMBER(H11),$B11*H11,0)</f>
        <v/>
      </c>
      <c r="J11" s="17">
        <f>IF(Kennzahlen!E51="","",Kennzahlen!E51)</f>
        <v/>
      </c>
      <c r="K11" s="6">
        <f>IF(NOT(ISNUMBER(J11)),"",IF(J11&lt;=INDEX(bpx_kontokorrent_auslastung,1),INDEX(bpy_kontokorrent_auslastung,1),IF(J11&gt;=INDEX(bpx_kontokorrent_auslastung,COUNT(bpx_kontokorrent_auslastung)),INDEX(bpy_kontokorrent_auslastung,COUNT(bpx_kontokorrent_auslastung)),INDEX(bpy_kontokorrent_auslastung,MATCH(J11,bpx_kontokorrent_auslastung,1))+(J11-INDEX(bpx_kontokorrent_auslastung,MATCH(J11,bpx_kontokorrent_auslastung,1)))/(INDEX(bpx_kontokorrent_auslastung,MATCH(J11,bpx_kontokorrent_auslastung,1)+1)-INDEX(bpx_kontokorrent_auslastung,MATCH(J11,bpx_kontokorrent_auslastung,1)))*(INDEX(bpy_kontokorrent_auslastung,MATCH(J11,bpx_kontokorrent_auslastung,1)+1)-INDEX(bpy_kontokorrent_auslastung,MATCH(J11,bpx_kontokorrent_auslastung,1))))))</f>
        <v/>
      </c>
      <c r="L11" s="19">
        <f>IF(ISNUMBER(K11),$B11*K11,0)</f>
        <v/>
      </c>
      <c r="M11" s="17">
        <f>IF(Kennzahlen!F51="","",Kennzahlen!F51)</f>
        <v/>
      </c>
      <c r="N11" s="6">
        <f>IF(NOT(ISNUMBER(M11)),"",IF(M11&lt;=INDEX(bpx_kontokorrent_auslastung,1),INDEX(bpy_kontokorrent_auslastung,1),IF(M11&gt;=INDEX(bpx_kontokorrent_auslastung,COUNT(bpx_kontokorrent_auslastung)),INDEX(bpy_kontokorrent_auslastung,COUNT(bpx_kontokorrent_auslastung)),INDEX(bpy_kontokorrent_auslastung,MATCH(M11,bpx_kontokorrent_auslastung,1))+(M11-INDEX(bpx_kontokorrent_auslastung,MATCH(M11,bpx_kontokorrent_auslastung,1)))/(INDEX(bpx_kontokorrent_auslastung,MATCH(M11,bpx_kontokorrent_auslastung,1)+1)-INDEX(bpx_kontokorrent_auslastung,MATCH(M11,bpx_kontokorrent_auslastung,1)))*(INDEX(bpy_kontokorrent_auslastung,MATCH(M11,bpx_kontokorrent_auslastung,1)+1)-INDEX(bpy_kontokorrent_auslastung,MATCH(M11,bpx_kontokorrent_auslastung,1))))))</f>
        <v/>
      </c>
      <c r="O11" s="19">
        <f>IF(ISNUMBER(N11),$B11*N11,0)</f>
        <v/>
      </c>
      <c r="P11" s="17">
        <f>IF(Kennzahlen!G51="","",Kennzahlen!G51)</f>
        <v/>
      </c>
      <c r="Q11" s="6">
        <f>IF(NOT(ISNUMBER(P11)),"",IF(P11&lt;=INDEX(bpx_kontokorrent_auslastung,1),INDEX(bpy_kontokorrent_auslastung,1),IF(P11&gt;=INDEX(bpx_kontokorrent_auslastung,COUNT(bpx_kontokorrent_auslastung)),INDEX(bpy_kontokorrent_auslastung,COUNT(bpx_kontokorrent_auslastung)),INDEX(bpy_kontokorrent_auslastung,MATCH(P11,bpx_kontokorrent_auslastung,1))+(P11-INDEX(bpx_kontokorrent_auslastung,MATCH(P11,bpx_kontokorrent_auslastung,1)))/(INDEX(bpx_kontokorrent_auslastung,MATCH(P11,bpx_kontokorrent_auslastung,1)+1)-INDEX(bpx_kontokorrent_auslastung,MATCH(P11,bpx_kontokorrent_auslastung,1)))*(INDEX(bpy_kontokorrent_auslastung,MATCH(P11,bpx_kontokorrent_auslastung,1)+1)-INDEX(bpy_kontokorrent_auslastung,MATCH(P11,bpx_kontokorrent_auslastung,1))))))</f>
        <v/>
      </c>
      <c r="R11" s="19">
        <f>IF(ISNUMBER(Q11),$B11*Q11,0)</f>
        <v/>
      </c>
      <c r="S11" s="17">
        <f>IF(Kennzahlen!H51="","",Kennzahlen!H51)</f>
        <v/>
      </c>
      <c r="T11" s="6">
        <f>IF(NOT(ISNUMBER(S11)),"",IF(S11&lt;=INDEX(bpx_kontokorrent_auslastung,1),INDEX(bpy_kontokorrent_auslastung,1),IF(S11&gt;=INDEX(bpx_kontokorrent_auslastung,COUNT(bpx_kontokorrent_auslastung)),INDEX(bpy_kontokorrent_auslastung,COUNT(bpx_kontokorrent_auslastung)),INDEX(bpy_kontokorrent_auslastung,MATCH(S11,bpx_kontokorrent_auslastung,1))+(S11-INDEX(bpx_kontokorrent_auslastung,MATCH(S11,bpx_kontokorrent_auslastung,1)))/(INDEX(bpx_kontokorrent_auslastung,MATCH(S11,bpx_kontokorrent_auslastung,1)+1)-INDEX(bpx_kontokorrent_auslastung,MATCH(S11,bpx_kontokorrent_auslastung,1)))*(INDEX(bpy_kontokorrent_auslastung,MATCH(S11,bpx_kontokorrent_auslastung,1)+1)-INDEX(bpy_kontokorrent_auslastung,MATCH(S11,bpx_kontokorrent_auslastung,1))))))</f>
        <v/>
      </c>
      <c r="U11" s="19">
        <f>IF(ISNUMBER(T11),$B11*T11,0)</f>
        <v/>
      </c>
      <c r="V11" s="17">
        <f>IF(Kennzahlen!I51="","",Kennzahlen!I51)</f>
        <v/>
      </c>
      <c r="W11" s="6">
        <f>IF(NOT(ISNUMBER(V11)),"",IF(V11&lt;=INDEX(bpx_kontokorrent_auslastung,1),INDEX(bpy_kontokorrent_auslastung,1),IF(V11&gt;=INDEX(bpx_kontokorrent_auslastung,COUNT(bpx_kontokorrent_auslastung)),INDEX(bpy_kontokorrent_auslastung,COUNT(bpx_kontokorrent_auslastung)),INDEX(bpy_kontokorrent_auslastung,MATCH(V11,bpx_kontokorrent_auslastung,1))+(V11-INDEX(bpx_kontokorrent_auslastung,MATCH(V11,bpx_kontokorrent_auslastung,1)))/(INDEX(bpx_kontokorrent_auslastung,MATCH(V11,bpx_kontokorrent_auslastung,1)+1)-INDEX(bpx_kontokorrent_auslastung,MATCH(V11,bpx_kontokorrent_auslastung,1)))*(INDEX(bpy_kontokorrent_auslastung,MATCH(V11,bpx_kontokorrent_auslastung,1)+1)-INDEX(bpy_kontokorrent_auslastung,MATCH(V11,bpx_kontokorrent_auslastung,1))))))</f>
        <v/>
      </c>
      <c r="X11" s="19">
        <f>IF(ISNUMBER(W11),$B11*W11,0)</f>
        <v/>
      </c>
    </row>
    <row r="12">
      <c r="A12" t="inlineStr">
        <is>
          <t>Aktualitaet der BWA</t>
        </is>
      </c>
      <c r="B12" s="18" t="n">
        <v>0.05</v>
      </c>
      <c r="C12" s="3" t="inlineStr">
        <is>
          <t>months</t>
        </is>
      </c>
      <c r="D12" s="6">
        <f>IF(Eingaben!C59="","",Eingaben!C59)</f>
        <v/>
      </c>
      <c r="E12" s="6">
        <f>IF(NOT(ISNUMBER(D12)),"",IF(D12&lt;=INDEX(bpx_bwa_age_months,1),INDEX(bpy_bwa_age_months,1),IF(D12&gt;=INDEX(bpx_bwa_age_months,COUNT(bpx_bwa_age_months)),INDEX(bpy_bwa_age_months,COUNT(bpx_bwa_age_months)),INDEX(bpy_bwa_age_months,MATCH(D12,bpx_bwa_age_months,1))+(D12-INDEX(bpx_bwa_age_months,MATCH(D12,bpx_bwa_age_months,1)))/(INDEX(bpx_bwa_age_months,MATCH(D12,bpx_bwa_age_months,1)+1)-INDEX(bpx_bwa_age_months,MATCH(D12,bpx_bwa_age_months,1)))*(INDEX(bpy_bwa_age_months,MATCH(D12,bpx_bwa_age_months,1)+1)-INDEX(bpy_bwa_age_months,MATCH(D12,bpx_bwa_age_months,1))))))</f>
        <v/>
      </c>
      <c r="F12" s="19">
        <f>IF(ISNUMBER(E12),$B12*E12,0)</f>
        <v/>
      </c>
      <c r="G12" s="6">
        <f>IF(Eingaben!D59="","",Eingaben!D59)</f>
        <v/>
      </c>
      <c r="H12" s="6">
        <f>IF(NOT(ISNUMBER(G12)),"",IF(G12&lt;=INDEX(bpx_bwa_age_months,1),INDEX(bpy_bwa_age_months,1),IF(G12&gt;=INDEX(bpx_bwa_age_months,COUNT(bpx_bwa_age_months)),INDEX(bpy_bwa_age_months,COUNT(bpx_bwa_age_months)),INDEX(bpy_bwa_age_months,MATCH(G12,bpx_bwa_age_months,1))+(G12-INDEX(bpx_bwa_age_months,MATCH(G12,bpx_bwa_age_months,1)))/(INDEX(bpx_bwa_age_months,MATCH(G12,bpx_bwa_age_months,1)+1)-INDEX(bpx_bwa_age_months,MATCH(G12,bpx_bwa_age_months,1)))*(INDEX(bpy_bwa_age_months,MATCH(G12,bpx_bwa_age_months,1)+1)-INDEX(bpy_bwa_age_months,MATCH(G12,bpx_bwa_age_months,1))))))</f>
        <v/>
      </c>
      <c r="I12" s="19">
        <f>IF(ISNUMBER(H12),$B12*H12,0)</f>
        <v/>
      </c>
      <c r="J12" s="6">
        <f>IF(Eingaben!E59="","",Eingaben!E59)</f>
        <v/>
      </c>
      <c r="K12" s="6">
        <f>IF(NOT(ISNUMBER(J12)),"",IF(J12&lt;=INDEX(bpx_bwa_age_months,1),INDEX(bpy_bwa_age_months,1),IF(J12&gt;=INDEX(bpx_bwa_age_months,COUNT(bpx_bwa_age_months)),INDEX(bpy_bwa_age_months,COUNT(bpx_bwa_age_months)),INDEX(bpy_bwa_age_months,MATCH(J12,bpx_bwa_age_months,1))+(J12-INDEX(bpx_bwa_age_months,MATCH(J12,bpx_bwa_age_months,1)))/(INDEX(bpx_bwa_age_months,MATCH(J12,bpx_bwa_age_months,1)+1)-INDEX(bpx_bwa_age_months,MATCH(J12,bpx_bwa_age_months,1)))*(INDEX(bpy_bwa_age_months,MATCH(J12,bpx_bwa_age_months,1)+1)-INDEX(bpy_bwa_age_months,MATCH(J12,bpx_bwa_age_months,1))))))</f>
        <v/>
      </c>
      <c r="L12" s="19">
        <f>IF(ISNUMBER(K12),$B12*K12,0)</f>
        <v/>
      </c>
      <c r="M12" s="6">
        <f>IF(Eingaben!F59="","",Eingaben!F59)</f>
        <v/>
      </c>
      <c r="N12" s="6">
        <f>IF(NOT(ISNUMBER(M12)),"",IF(M12&lt;=INDEX(bpx_bwa_age_months,1),INDEX(bpy_bwa_age_months,1),IF(M12&gt;=INDEX(bpx_bwa_age_months,COUNT(bpx_bwa_age_months)),INDEX(bpy_bwa_age_months,COUNT(bpx_bwa_age_months)),INDEX(bpy_bwa_age_months,MATCH(M12,bpx_bwa_age_months,1))+(M12-INDEX(bpx_bwa_age_months,MATCH(M12,bpx_bwa_age_months,1)))/(INDEX(bpx_bwa_age_months,MATCH(M12,bpx_bwa_age_months,1)+1)-INDEX(bpx_bwa_age_months,MATCH(M12,bpx_bwa_age_months,1)))*(INDEX(bpy_bwa_age_months,MATCH(M12,bpx_bwa_age_months,1)+1)-INDEX(bpy_bwa_age_months,MATCH(M12,bpx_bwa_age_months,1))))))</f>
        <v/>
      </c>
      <c r="O12" s="19">
        <f>IF(ISNUMBER(N12),$B12*N12,0)</f>
        <v/>
      </c>
      <c r="P12" s="6">
        <f>IF(Eingaben!G59="","",Eingaben!G59)</f>
        <v/>
      </c>
      <c r="Q12" s="6">
        <f>IF(NOT(ISNUMBER(P12)),"",IF(P12&lt;=INDEX(bpx_bwa_age_months,1),INDEX(bpy_bwa_age_months,1),IF(P12&gt;=INDEX(bpx_bwa_age_months,COUNT(bpx_bwa_age_months)),INDEX(bpy_bwa_age_months,COUNT(bpx_bwa_age_months)),INDEX(bpy_bwa_age_months,MATCH(P12,bpx_bwa_age_months,1))+(P12-INDEX(bpx_bwa_age_months,MATCH(P12,bpx_bwa_age_months,1)))/(INDEX(bpx_bwa_age_months,MATCH(P12,bpx_bwa_age_months,1)+1)-INDEX(bpx_bwa_age_months,MATCH(P12,bpx_bwa_age_months,1)))*(INDEX(bpy_bwa_age_months,MATCH(P12,bpx_bwa_age_months,1)+1)-INDEX(bpy_bwa_age_months,MATCH(P12,bpx_bwa_age_months,1))))))</f>
        <v/>
      </c>
      <c r="R12" s="19">
        <f>IF(ISNUMBER(Q12),$B12*Q12,0)</f>
        <v/>
      </c>
      <c r="S12" s="6">
        <f>IF(Eingaben!H59="","",Eingaben!H59)</f>
        <v/>
      </c>
      <c r="T12" s="6">
        <f>IF(NOT(ISNUMBER(S12)),"",IF(S12&lt;=INDEX(bpx_bwa_age_months,1),INDEX(bpy_bwa_age_months,1),IF(S12&gt;=INDEX(bpx_bwa_age_months,COUNT(bpx_bwa_age_months)),INDEX(bpy_bwa_age_months,COUNT(bpx_bwa_age_months)),INDEX(bpy_bwa_age_months,MATCH(S12,bpx_bwa_age_months,1))+(S12-INDEX(bpx_bwa_age_months,MATCH(S12,bpx_bwa_age_months,1)))/(INDEX(bpx_bwa_age_months,MATCH(S12,bpx_bwa_age_months,1)+1)-INDEX(bpx_bwa_age_months,MATCH(S12,bpx_bwa_age_months,1)))*(INDEX(bpy_bwa_age_months,MATCH(S12,bpx_bwa_age_months,1)+1)-INDEX(bpy_bwa_age_months,MATCH(S12,bpx_bwa_age_months,1))))))</f>
        <v/>
      </c>
      <c r="U12" s="19">
        <f>IF(ISNUMBER(T12),$B12*T12,0)</f>
        <v/>
      </c>
      <c r="V12" s="6">
        <f>IF(Eingaben!I59="","",Eingaben!I59)</f>
        <v/>
      </c>
      <c r="W12" s="6">
        <f>IF(NOT(ISNUMBER(V12)),"",IF(V12&lt;=INDEX(bpx_bwa_age_months,1),INDEX(bpy_bwa_age_months,1),IF(V12&gt;=INDEX(bpx_bwa_age_months,COUNT(bpx_bwa_age_months)),INDEX(bpy_bwa_age_months,COUNT(bpx_bwa_age_months)),INDEX(bpy_bwa_age_months,MATCH(V12,bpx_bwa_age_months,1))+(V12-INDEX(bpx_bwa_age_months,MATCH(V12,bpx_bwa_age_months,1)))/(INDEX(bpx_bwa_age_months,MATCH(V12,bpx_bwa_age_months,1)+1)-INDEX(bpx_bwa_age_months,MATCH(V12,bpx_bwa_age_months,1)))*(INDEX(bpy_bwa_age_months,MATCH(V12,bpx_bwa_age_months,1)+1)-INDEX(bpy_bwa_age_months,MATCH(V12,bpx_bwa_age_months,1))))))</f>
        <v/>
      </c>
      <c r="X12" s="19">
        <f>IF(ISNUMBER(W12),$B12*W12,0)</f>
        <v/>
      </c>
    </row>
    <row r="13">
      <c r="A13" t="inlineStr">
        <is>
          <t>Creditreform Bonitaetsindex</t>
        </is>
      </c>
      <c r="B13" s="18" t="n">
        <v>0.05</v>
      </c>
      <c r="C13" s="3" t="inlineStr">
        <is>
          <t>index</t>
        </is>
      </c>
      <c r="D13" s="15">
        <f>IF(Eingaben!C60="","",Eingaben!C60)</f>
        <v/>
      </c>
      <c r="E13" s="6">
        <f>IF(NOT(ISNUMBER(D13)),"",IF(D13&lt;=INDEX(bpx_creditreform_bonitaetsindex,1),INDEX(bpy_creditreform_bonitaetsindex,1),IF(D13&gt;=INDEX(bpx_creditreform_bonitaetsindex,COUNT(bpx_creditreform_bonitaetsindex)),INDEX(bpy_creditreform_bonitaetsindex,COUNT(bpx_creditreform_bonitaetsindex)),INDEX(bpy_creditreform_bonitaetsindex,MATCH(D13,bpx_creditreform_bonitaetsindex,1))+(D13-INDEX(bpx_creditreform_bonitaetsindex,MATCH(D13,bpx_creditreform_bonitaetsindex,1)))/(INDEX(bpx_creditreform_bonitaetsindex,MATCH(D13,bpx_creditreform_bonitaetsindex,1)+1)-INDEX(bpx_creditreform_bonitaetsindex,MATCH(D13,bpx_creditreform_bonitaetsindex,1)))*(INDEX(bpy_creditreform_bonitaetsindex,MATCH(D13,bpx_creditreform_bonitaetsindex,1)+1)-INDEX(bpy_creditreform_bonitaetsindex,MATCH(D13,bpx_creditreform_bonitaetsindex,1))))))</f>
        <v/>
      </c>
      <c r="F13" s="19">
        <f>IF(ISNUMBER(E13),$B13*E13,0)</f>
        <v/>
      </c>
      <c r="G13" s="15">
        <f>IF(Eingaben!D60="","",Eingaben!D60)</f>
        <v/>
      </c>
      <c r="H13" s="6">
        <f>IF(NOT(ISNUMBER(G13)),"",IF(G13&lt;=INDEX(bpx_creditreform_bonitaetsindex,1),INDEX(bpy_creditreform_bonitaetsindex,1),IF(G13&gt;=INDEX(bpx_creditreform_bonitaetsindex,COUNT(bpx_creditreform_bonitaetsindex)),INDEX(bpy_creditreform_bonitaetsindex,COUNT(bpx_creditreform_bonitaetsindex)),INDEX(bpy_creditreform_bonitaetsindex,MATCH(G13,bpx_creditreform_bonitaetsindex,1))+(G13-INDEX(bpx_creditreform_bonitaetsindex,MATCH(G13,bpx_creditreform_bonitaetsindex,1)))/(INDEX(bpx_creditreform_bonitaetsindex,MATCH(G13,bpx_creditreform_bonitaetsindex,1)+1)-INDEX(bpx_creditreform_bonitaetsindex,MATCH(G13,bpx_creditreform_bonitaetsindex,1)))*(INDEX(bpy_creditreform_bonitaetsindex,MATCH(G13,bpx_creditreform_bonitaetsindex,1)+1)-INDEX(bpy_creditreform_bonitaetsindex,MATCH(G13,bpx_creditreform_bonitaetsindex,1))))))</f>
        <v/>
      </c>
      <c r="I13" s="19">
        <f>IF(ISNUMBER(H13),$B13*H13,0)</f>
        <v/>
      </c>
      <c r="J13" s="15">
        <f>IF(Eingaben!E60="","",Eingaben!E60)</f>
        <v/>
      </c>
      <c r="K13" s="6">
        <f>IF(NOT(ISNUMBER(J13)),"",IF(J13&lt;=INDEX(bpx_creditreform_bonitaetsindex,1),INDEX(bpy_creditreform_bonitaetsindex,1),IF(J13&gt;=INDEX(bpx_creditreform_bonitaetsindex,COUNT(bpx_creditreform_bonitaetsindex)),INDEX(bpy_creditreform_bonitaetsindex,COUNT(bpx_creditreform_bonitaetsindex)),INDEX(bpy_creditreform_bonitaetsindex,MATCH(J13,bpx_creditreform_bonitaetsindex,1))+(J13-INDEX(bpx_creditreform_bonitaetsindex,MATCH(J13,bpx_creditreform_bonitaetsindex,1)))/(INDEX(bpx_creditreform_bonitaetsindex,MATCH(J13,bpx_creditreform_bonitaetsindex,1)+1)-INDEX(bpx_creditreform_bonitaetsindex,MATCH(J13,bpx_creditreform_bonitaetsindex,1)))*(INDEX(bpy_creditreform_bonitaetsindex,MATCH(J13,bpx_creditreform_bonitaetsindex,1)+1)-INDEX(bpy_creditreform_bonitaetsindex,MATCH(J13,bpx_creditreform_bonitaetsindex,1))))))</f>
        <v/>
      </c>
      <c r="L13" s="19">
        <f>IF(ISNUMBER(K13),$B13*K13,0)</f>
        <v/>
      </c>
      <c r="M13" s="15">
        <f>IF(Eingaben!F60="","",Eingaben!F60)</f>
        <v/>
      </c>
      <c r="N13" s="6">
        <f>IF(NOT(ISNUMBER(M13)),"",IF(M13&lt;=INDEX(bpx_creditreform_bonitaetsindex,1),INDEX(bpy_creditreform_bonitaetsindex,1),IF(M13&gt;=INDEX(bpx_creditreform_bonitaetsindex,COUNT(bpx_creditreform_bonitaetsindex)),INDEX(bpy_creditreform_bonitaetsindex,COUNT(bpx_creditreform_bonitaetsindex)),INDEX(bpy_creditreform_bonitaetsindex,MATCH(M13,bpx_creditreform_bonitaetsindex,1))+(M13-INDEX(bpx_creditreform_bonitaetsindex,MATCH(M13,bpx_creditreform_bonitaetsindex,1)))/(INDEX(bpx_creditreform_bonitaetsindex,MATCH(M13,bpx_creditreform_bonitaetsindex,1)+1)-INDEX(bpx_creditreform_bonitaetsindex,MATCH(M13,bpx_creditreform_bonitaetsindex,1)))*(INDEX(bpy_creditreform_bonitaetsindex,MATCH(M13,bpx_creditreform_bonitaetsindex,1)+1)-INDEX(bpy_creditreform_bonitaetsindex,MATCH(M13,bpx_creditreform_bonitaetsindex,1))))))</f>
        <v/>
      </c>
      <c r="O13" s="19">
        <f>IF(ISNUMBER(N13),$B13*N13,0)</f>
        <v/>
      </c>
      <c r="P13" s="15">
        <f>IF(Eingaben!G60="","",Eingaben!G60)</f>
        <v/>
      </c>
      <c r="Q13" s="6">
        <f>IF(NOT(ISNUMBER(P13)),"",IF(P13&lt;=INDEX(bpx_creditreform_bonitaetsindex,1),INDEX(bpy_creditreform_bonitaetsindex,1),IF(P13&gt;=INDEX(bpx_creditreform_bonitaetsindex,COUNT(bpx_creditreform_bonitaetsindex)),INDEX(bpy_creditreform_bonitaetsindex,COUNT(bpx_creditreform_bonitaetsindex)),INDEX(bpy_creditreform_bonitaetsindex,MATCH(P13,bpx_creditreform_bonitaetsindex,1))+(P13-INDEX(bpx_creditreform_bonitaetsindex,MATCH(P13,bpx_creditreform_bonitaetsindex,1)))/(INDEX(bpx_creditreform_bonitaetsindex,MATCH(P13,bpx_creditreform_bonitaetsindex,1)+1)-INDEX(bpx_creditreform_bonitaetsindex,MATCH(P13,bpx_creditreform_bonitaetsindex,1)))*(INDEX(bpy_creditreform_bonitaetsindex,MATCH(P13,bpx_creditreform_bonitaetsindex,1)+1)-INDEX(bpy_creditreform_bonitaetsindex,MATCH(P13,bpx_creditreform_bonitaetsindex,1))))))</f>
        <v/>
      </c>
      <c r="R13" s="19">
        <f>IF(ISNUMBER(Q13),$B13*Q13,0)</f>
        <v/>
      </c>
      <c r="S13" s="15">
        <f>IF(Eingaben!H60="","",Eingaben!H60)</f>
        <v/>
      </c>
      <c r="T13" s="6">
        <f>IF(NOT(ISNUMBER(S13)),"",IF(S13&lt;=INDEX(bpx_creditreform_bonitaetsindex,1),INDEX(bpy_creditreform_bonitaetsindex,1),IF(S13&gt;=INDEX(bpx_creditreform_bonitaetsindex,COUNT(bpx_creditreform_bonitaetsindex)),INDEX(bpy_creditreform_bonitaetsindex,COUNT(bpx_creditreform_bonitaetsindex)),INDEX(bpy_creditreform_bonitaetsindex,MATCH(S13,bpx_creditreform_bonitaetsindex,1))+(S13-INDEX(bpx_creditreform_bonitaetsindex,MATCH(S13,bpx_creditreform_bonitaetsindex,1)))/(INDEX(bpx_creditreform_bonitaetsindex,MATCH(S13,bpx_creditreform_bonitaetsindex,1)+1)-INDEX(bpx_creditreform_bonitaetsindex,MATCH(S13,bpx_creditreform_bonitaetsindex,1)))*(INDEX(bpy_creditreform_bonitaetsindex,MATCH(S13,bpx_creditreform_bonitaetsindex,1)+1)-INDEX(bpy_creditreform_bonitaetsindex,MATCH(S13,bpx_creditreform_bonitaetsindex,1))))))</f>
        <v/>
      </c>
      <c r="U13" s="19">
        <f>IF(ISNUMBER(T13),$B13*T13,0)</f>
        <v/>
      </c>
      <c r="V13" s="15">
        <f>IF(Eingaben!I60="","",Eingaben!I60)</f>
        <v/>
      </c>
      <c r="W13" s="6">
        <f>IF(NOT(ISNUMBER(V13)),"",IF(V13&lt;=INDEX(bpx_creditreform_bonitaetsindex,1),INDEX(bpy_creditreform_bonitaetsindex,1),IF(V13&gt;=INDEX(bpx_creditreform_bonitaetsindex,COUNT(bpx_creditreform_bonitaetsindex)),INDEX(bpy_creditreform_bonitaetsindex,COUNT(bpx_creditreform_bonitaetsindex)),INDEX(bpy_creditreform_bonitaetsindex,MATCH(V13,bpx_creditreform_bonitaetsindex,1))+(V13-INDEX(bpx_creditreform_bonitaetsindex,MATCH(V13,bpx_creditreform_bonitaetsindex,1)))/(INDEX(bpx_creditreform_bonitaetsindex,MATCH(V13,bpx_creditreform_bonitaetsindex,1)+1)-INDEX(bpx_creditreform_bonitaetsindex,MATCH(V13,bpx_creditreform_bonitaetsindex,1)))*(INDEX(bpy_creditreform_bonitaetsindex,MATCH(V13,bpx_creditreform_bonitaetsindex,1)+1)-INDEX(bpy_creditreform_bonitaetsindex,MATCH(V13,bpx_creditreform_bonitaetsindex,1))))))</f>
        <v/>
      </c>
      <c r="X13" s="19">
        <f>IF(ISNUMBER(W13),$B13*W13,0)</f>
        <v/>
      </c>
    </row>
    <row r="14">
      <c r="A14" t="inlineStr">
        <is>
          <t>Zahlungsverhalten</t>
        </is>
      </c>
      <c r="B14" s="18" t="n">
        <v>0.04</v>
      </c>
      <c r="C14" s="3" t="inlineStr">
        <is>
          <t>index</t>
        </is>
      </c>
      <c r="D14" s="15">
        <f>IF(Kennzahlen!C52="","",Kennzahlen!C52)</f>
        <v/>
      </c>
      <c r="E14" s="6">
        <f>IF(NOT(ISNUMBER(D14)),"",IF(D14&lt;=INDEX(bpx_zahlungsverhalten,1),INDEX(bpy_zahlungsverhalten,1),IF(D14&gt;=INDEX(bpx_zahlungsverhalten,COUNT(bpx_zahlungsverhalten)),INDEX(bpy_zahlungsverhalten,COUNT(bpx_zahlungsverhalten)),INDEX(bpy_zahlungsverhalten,MATCH(D14,bpx_zahlungsverhalten,1))+(D14-INDEX(bpx_zahlungsverhalten,MATCH(D14,bpx_zahlungsverhalten,1)))/(INDEX(bpx_zahlungsverhalten,MATCH(D14,bpx_zahlungsverhalten,1)+1)-INDEX(bpx_zahlungsverhalten,MATCH(D14,bpx_zahlungsverhalten,1)))*(INDEX(bpy_zahlungsverhalten,MATCH(D14,bpx_zahlungsverhalten,1)+1)-INDEX(bpy_zahlungsverhalten,MATCH(D14,bpx_zahlungsverhalten,1))))))</f>
        <v/>
      </c>
      <c r="F14" s="19">
        <f>IF(ISNUMBER(E14),$B14*E14,0)</f>
        <v/>
      </c>
      <c r="G14" s="15">
        <f>IF(Kennzahlen!D52="","",Kennzahlen!D52)</f>
        <v/>
      </c>
      <c r="H14" s="6">
        <f>IF(NOT(ISNUMBER(G14)),"",IF(G14&lt;=INDEX(bpx_zahlungsverhalten,1),INDEX(bpy_zahlungsverhalten,1),IF(G14&gt;=INDEX(bpx_zahlungsverhalten,COUNT(bpx_zahlungsverhalten)),INDEX(bpy_zahlungsverhalten,COUNT(bpx_zahlungsverhalten)),INDEX(bpy_zahlungsverhalten,MATCH(G14,bpx_zahlungsverhalten,1))+(G14-INDEX(bpx_zahlungsverhalten,MATCH(G14,bpx_zahlungsverhalten,1)))/(INDEX(bpx_zahlungsverhalten,MATCH(G14,bpx_zahlungsverhalten,1)+1)-INDEX(bpx_zahlungsverhalten,MATCH(G14,bpx_zahlungsverhalten,1)))*(INDEX(bpy_zahlungsverhalten,MATCH(G14,bpx_zahlungsverhalten,1)+1)-INDEX(bpy_zahlungsverhalten,MATCH(G14,bpx_zahlungsverhalten,1))))))</f>
        <v/>
      </c>
      <c r="I14" s="19">
        <f>IF(ISNUMBER(H14),$B14*H14,0)</f>
        <v/>
      </c>
      <c r="J14" s="15">
        <f>IF(Kennzahlen!E52="","",Kennzahlen!E52)</f>
        <v/>
      </c>
      <c r="K14" s="6">
        <f>IF(NOT(ISNUMBER(J14)),"",IF(J14&lt;=INDEX(bpx_zahlungsverhalten,1),INDEX(bpy_zahlungsverhalten,1),IF(J14&gt;=INDEX(bpx_zahlungsverhalten,COUNT(bpx_zahlungsverhalten)),INDEX(bpy_zahlungsverhalten,COUNT(bpx_zahlungsverhalten)),INDEX(bpy_zahlungsverhalten,MATCH(J14,bpx_zahlungsverhalten,1))+(J14-INDEX(bpx_zahlungsverhalten,MATCH(J14,bpx_zahlungsverhalten,1)))/(INDEX(bpx_zahlungsverhalten,MATCH(J14,bpx_zahlungsverhalten,1)+1)-INDEX(bpx_zahlungsverhalten,MATCH(J14,bpx_zahlungsverhalten,1)))*(INDEX(bpy_zahlungsverhalten,MATCH(J14,bpx_zahlungsverhalten,1)+1)-INDEX(bpy_zahlungsverhalten,MATCH(J14,bpx_zahlungsverhalten,1))))))</f>
        <v/>
      </c>
      <c r="L14" s="19">
        <f>IF(ISNUMBER(K14),$B14*K14,0)</f>
        <v/>
      </c>
      <c r="M14" s="15">
        <f>IF(Kennzahlen!F52="","",Kennzahlen!F52)</f>
        <v/>
      </c>
      <c r="N14" s="6">
        <f>IF(NOT(ISNUMBER(M14)),"",IF(M14&lt;=INDEX(bpx_zahlungsverhalten,1),INDEX(bpy_zahlungsverhalten,1),IF(M14&gt;=INDEX(bpx_zahlungsverhalten,COUNT(bpx_zahlungsverhalten)),INDEX(bpy_zahlungsverhalten,COUNT(bpx_zahlungsverhalten)),INDEX(bpy_zahlungsverhalten,MATCH(M14,bpx_zahlungsverhalten,1))+(M14-INDEX(bpx_zahlungsverhalten,MATCH(M14,bpx_zahlungsverhalten,1)))/(INDEX(bpx_zahlungsverhalten,MATCH(M14,bpx_zahlungsverhalten,1)+1)-INDEX(bpx_zahlungsverhalten,MATCH(M14,bpx_zahlungsverhalten,1)))*(INDEX(bpy_zahlungsverhalten,MATCH(M14,bpx_zahlungsverhalten,1)+1)-INDEX(bpy_zahlungsverhalten,MATCH(M14,bpx_zahlungsverhalten,1))))))</f>
        <v/>
      </c>
      <c r="O14" s="19">
        <f>IF(ISNUMBER(N14),$B14*N14,0)</f>
        <v/>
      </c>
      <c r="P14" s="15">
        <f>IF(Kennzahlen!G52="","",Kennzahlen!G52)</f>
        <v/>
      </c>
      <c r="Q14" s="6">
        <f>IF(NOT(ISNUMBER(P14)),"",IF(P14&lt;=INDEX(bpx_zahlungsverhalten,1),INDEX(bpy_zahlungsverhalten,1),IF(P14&gt;=INDEX(bpx_zahlungsverhalten,COUNT(bpx_zahlungsverhalten)),INDEX(bpy_zahlungsverhalten,COUNT(bpx_zahlungsverhalten)),INDEX(bpy_zahlungsverhalten,MATCH(P14,bpx_zahlungsverhalten,1))+(P14-INDEX(bpx_zahlungsverhalten,MATCH(P14,bpx_zahlungsverhalten,1)))/(INDEX(bpx_zahlungsverhalten,MATCH(P14,bpx_zahlungsverhalten,1)+1)-INDEX(bpx_zahlungsverhalten,MATCH(P14,bpx_zahlungsverhalten,1)))*(INDEX(bpy_zahlungsverhalten,MATCH(P14,bpx_zahlungsverhalten,1)+1)-INDEX(bpy_zahlungsverhalten,MATCH(P14,bpx_zahlungsverhalten,1))))))</f>
        <v/>
      </c>
      <c r="R14" s="19">
        <f>IF(ISNUMBER(Q14),$B14*Q14,0)</f>
        <v/>
      </c>
      <c r="S14" s="15">
        <f>IF(Kennzahlen!H52="","",Kennzahlen!H52)</f>
        <v/>
      </c>
      <c r="T14" s="6">
        <f>IF(NOT(ISNUMBER(S14)),"",IF(S14&lt;=INDEX(bpx_zahlungsverhalten,1),INDEX(bpy_zahlungsverhalten,1),IF(S14&gt;=INDEX(bpx_zahlungsverhalten,COUNT(bpx_zahlungsverhalten)),INDEX(bpy_zahlungsverhalten,COUNT(bpx_zahlungsverhalten)),INDEX(bpy_zahlungsverhalten,MATCH(S14,bpx_zahlungsverhalten,1))+(S14-INDEX(bpx_zahlungsverhalten,MATCH(S14,bpx_zahlungsverhalten,1)))/(INDEX(bpx_zahlungsverhalten,MATCH(S14,bpx_zahlungsverhalten,1)+1)-INDEX(bpx_zahlungsverhalten,MATCH(S14,bpx_zahlungsverhalten,1)))*(INDEX(bpy_zahlungsverhalten,MATCH(S14,bpx_zahlungsverhalten,1)+1)-INDEX(bpy_zahlungsverhalten,MATCH(S14,bpx_zahlungsverhalten,1))))))</f>
        <v/>
      </c>
      <c r="U14" s="19">
        <f>IF(ISNUMBER(T14),$B14*T14,0)</f>
        <v/>
      </c>
      <c r="V14" s="15">
        <f>IF(Kennzahlen!I52="","",Kennzahlen!I52)</f>
        <v/>
      </c>
      <c r="W14" s="6">
        <f>IF(NOT(ISNUMBER(V14)),"",IF(V14&lt;=INDEX(bpx_zahlungsverhalten,1),INDEX(bpy_zahlungsverhalten,1),IF(V14&gt;=INDEX(bpx_zahlungsverhalten,COUNT(bpx_zahlungsverhalten)),INDEX(bpy_zahlungsverhalten,COUNT(bpx_zahlungsverhalten)),INDEX(bpy_zahlungsverhalten,MATCH(V14,bpx_zahlungsverhalten,1))+(V14-INDEX(bpx_zahlungsverhalten,MATCH(V14,bpx_zahlungsverhalten,1)))/(INDEX(bpx_zahlungsverhalten,MATCH(V14,bpx_zahlungsverhalten,1)+1)-INDEX(bpx_zahlungsverhalten,MATCH(V14,bpx_zahlungsverhalten,1)))*(INDEX(bpy_zahlungsverhalten,MATCH(V14,bpx_zahlungsverhalten,1)+1)-INDEX(bpy_zahlungsverhalten,MATCH(V14,bpx_zahlungsverhalten,1))))))</f>
        <v/>
      </c>
      <c r="X14" s="19">
        <f>IF(ISNUMBER(W14),$B14*W14,0)</f>
        <v/>
      </c>
    </row>
    <row r="16">
      <c r="A16" s="4" t="inlineStr">
        <is>
          <t>Summe der Gewichte mit Punkten</t>
        </is>
      </c>
      <c r="D16" s="20">
        <f>SUMPRODUCT(($B$5:$B$14)*ISNUMBER(E5:E14))</f>
        <v/>
      </c>
      <c r="G16" s="20">
        <f>SUMPRODUCT(($B$5:$B$14)*ISNUMBER(H5:H14))</f>
        <v/>
      </c>
      <c r="J16" s="20">
        <f>SUMPRODUCT(($B$5:$B$14)*ISNUMBER(K5:K14))</f>
        <v/>
      </c>
      <c r="M16" s="20">
        <f>SUMPRODUCT(($B$5:$B$14)*ISNUMBER(N5:N14))</f>
        <v/>
      </c>
      <c r="P16" s="20">
        <f>SUMPRODUCT(($B$5:$B$14)*ISNUMBER(Q5:Q14))</f>
        <v/>
      </c>
      <c r="S16" s="20">
        <f>SUMPRODUCT(($B$5:$B$14)*ISNUMBER(T5:T14))</f>
        <v/>
      </c>
      <c r="V16" s="20">
        <f>SUMPRODUCT(($B$5:$B$14)*ISNUMBER(W5:W14))</f>
        <v/>
      </c>
    </row>
    <row r="17">
      <c r="A17" s="4" t="inlineStr">
        <is>
          <t>Abdeckung (Coverage)</t>
        </is>
      </c>
      <c r="D17" s="20">
        <f>D16</f>
        <v/>
      </c>
      <c r="G17" s="20">
        <f>G16</f>
        <v/>
      </c>
      <c r="J17" s="20">
        <f>J16</f>
        <v/>
      </c>
      <c r="M17" s="20">
        <f>M16</f>
        <v/>
      </c>
      <c r="P17" s="20">
        <f>P16</f>
        <v/>
      </c>
      <c r="S17" s="20">
        <f>S16</f>
        <v/>
      </c>
      <c r="V17" s="20">
        <f>V16</f>
        <v/>
      </c>
    </row>
    <row r="18">
      <c r="A18" s="4" t="inlineStr">
        <is>
          <t>Summe Gewicht x Punkte</t>
        </is>
      </c>
      <c r="D18" s="21">
        <f>SUM(F5:F14)</f>
        <v/>
      </c>
      <c r="G18" s="21">
        <f>SUM(I5:I14)</f>
        <v/>
      </c>
      <c r="J18" s="21">
        <f>SUM(L5:L14)</f>
        <v/>
      </c>
      <c r="M18" s="21">
        <f>SUM(O5:O14)</f>
        <v/>
      </c>
      <c r="P18" s="21">
        <f>SUM(R5:R14)</f>
        <v/>
      </c>
      <c r="S18" s="21">
        <f>SUM(U5:U14)</f>
        <v/>
      </c>
      <c r="V18" s="21">
        <f>SUM(X5:X14)</f>
        <v/>
      </c>
    </row>
    <row r="19">
      <c r="A19" s="4" t="inlineStr">
        <is>
          <t>Gesamtscore (renormiert)</t>
        </is>
      </c>
      <c r="D19" s="22">
        <f>IF(D16=0,0,D18/D16)</f>
        <v/>
      </c>
      <c r="G19" s="22">
        <f>IF(G16=0,0,G18/G16)</f>
        <v/>
      </c>
      <c r="J19" s="22">
        <f>IF(J16=0,0,J18/J16)</f>
        <v/>
      </c>
      <c r="M19" s="22">
        <f>IF(M16=0,0,M18/M16)</f>
        <v/>
      </c>
      <c r="P19" s="22">
        <f>IF(P16=0,0,P18/P16)</f>
        <v/>
      </c>
      <c r="S19" s="22">
        <f>IF(S16=0,0,S18/S16)</f>
        <v/>
      </c>
      <c r="V19" s="22">
        <f>IF(V16=0,0,V18/V16)</f>
        <v/>
      </c>
    </row>
    <row r="20">
      <c r="A20" s="4" t="inlineStr">
        <is>
          <t>Readiness-Band</t>
        </is>
      </c>
      <c r="D20" s="23">
        <f>IF(D19&gt;=78.0,"A",IF(D19&gt;=65.0,"B",IF(D19&gt;=52.0,"C",IF(D19&gt;=38.0,"D","E"))))</f>
        <v/>
      </c>
      <c r="G20" s="23">
        <f>IF(G19&gt;=78.0,"A",IF(G19&gt;=65.0,"B",IF(G19&gt;=52.0,"C",IF(G19&gt;=38.0,"D","E"))))</f>
        <v/>
      </c>
      <c r="J20" s="23">
        <f>IF(J19&gt;=78.0,"A",IF(J19&gt;=65.0,"B",IF(J19&gt;=52.0,"C",IF(J19&gt;=38.0,"D","E"))))</f>
        <v/>
      </c>
      <c r="M20" s="23">
        <f>IF(M19&gt;=78.0,"A",IF(M19&gt;=65.0,"B",IF(M19&gt;=52.0,"C",IF(M19&gt;=38.0,"D","E"))))</f>
        <v/>
      </c>
      <c r="P20" s="23">
        <f>IF(P19&gt;=78.0,"A",IF(P19&gt;=65.0,"B",IF(P19&gt;=52.0,"C",IF(P19&gt;=38.0,"D","E"))))</f>
        <v/>
      </c>
      <c r="S20" s="23">
        <f>IF(S19&gt;=78.0,"A",IF(S19&gt;=65.0,"B",IF(S19&gt;=52.0,"C",IF(S19&gt;=38.0,"D","E"))))</f>
        <v/>
      </c>
      <c r="V20" s="23">
        <f>IF(V19&gt;=78.0,"A",IF(V19&gt;=65.0,"B",IF(V19&gt;=52.0,"C",IF(V19&gt;=38.0,"D","E"))))</f>
        <v/>
      </c>
    </row>
    <row r="21">
      <c r="A21" s="4" t="inlineStr">
        <is>
          <t>Engine-Score (Referenz)</t>
        </is>
      </c>
      <c r="D21" s="21" t="n"/>
      <c r="G21" s="21" t="n">
        <v>66.40000000000001</v>
      </c>
      <c r="J21" s="21" t="n">
        <v>50.7</v>
      </c>
      <c r="M21" s="21" t="n">
        <v>4.2</v>
      </c>
      <c r="P21" s="21" t="n">
        <v>90.7</v>
      </c>
      <c r="S21" s="21" t="n">
        <v>72.09999999999999</v>
      </c>
      <c r="V21" s="21" t="n">
        <v>93.3</v>
      </c>
    </row>
    <row r="22">
      <c r="A22" s="4" t="inlineStr">
        <is>
          <t>Engine-Band (Referenz)</t>
        </is>
      </c>
      <c r="D22" s="4" t="n"/>
      <c r="G22" s="4" t="inlineStr">
        <is>
          <t>B</t>
        </is>
      </c>
      <c r="J22" s="4" t="inlineStr">
        <is>
          <t>D</t>
        </is>
      </c>
      <c r="M22" s="4" t="inlineStr">
        <is>
          <t>E</t>
        </is>
      </c>
      <c r="P22" s="4" t="inlineStr">
        <is>
          <t>A</t>
        </is>
      </c>
      <c r="S22" s="4" t="inlineStr">
        <is>
          <t>B</t>
        </is>
      </c>
      <c r="V22" s="4" t="inlineStr">
        <is>
          <t>A</t>
        </is>
      </c>
    </row>
    <row r="23">
      <c r="A23" s="4" t="inlineStr">
        <is>
          <t>Differenz Excel - Engine</t>
        </is>
      </c>
      <c r="D23" s="21">
        <f>IF(NOT(ISNUMBER(D21)),"",ROUND(D19,1)-D21)</f>
        <v/>
      </c>
      <c r="G23" s="21">
        <f>IF(NOT(ISNUMBER(G21)),"",ROUND(G19,1)-G21)</f>
        <v/>
      </c>
      <c r="J23" s="21">
        <f>IF(NOT(ISNUMBER(J21)),"",ROUND(J19,1)-J21)</f>
        <v/>
      </c>
      <c r="M23" s="21">
        <f>IF(NOT(ISNUMBER(M21)),"",ROUND(M19,1)-M21)</f>
        <v/>
      </c>
      <c r="P23" s="21">
        <f>IF(NOT(ISNUMBER(P21)),"",ROUND(P19,1)-P21)</f>
        <v/>
      </c>
      <c r="S23" s="21">
        <f>IF(NOT(ISNUMBER(S21)),"",ROUND(S19,1)-S21)</f>
        <v/>
      </c>
      <c r="V23" s="21">
        <f>IF(NOT(ISNUMBER(V21)),"",ROUND(V19,1)-V21)</f>
        <v/>
      </c>
    </row>
    <row r="24">
      <c r="A24" s="4" t="inlineStr">
        <is>
          <t>Status</t>
        </is>
      </c>
      <c r="D24" s="23">
        <f>IF(D23="","eigener Fall",IF(ABS(D23)&lt;=0.05,"OK","ABWEICHUNG"))</f>
        <v/>
      </c>
      <c r="G24" s="23">
        <f>IF(G23="","eigener Fall",IF(ABS(G23)&lt;=0.05,"OK","ABWEICHUNG"))</f>
        <v/>
      </c>
      <c r="J24" s="23">
        <f>IF(J23="","eigener Fall",IF(ABS(J23)&lt;=0.05,"OK","ABWEICHUNG"))</f>
        <v/>
      </c>
      <c r="M24" s="23">
        <f>IF(M23="","eigener Fall",IF(ABS(M23)&lt;=0.05,"OK","ABWEICHUNG"))</f>
        <v/>
      </c>
      <c r="P24" s="23">
        <f>IF(P23="","eigener Fall",IF(ABS(P23)&lt;=0.05,"OK","ABWEICHUNG"))</f>
        <v/>
      </c>
      <c r="S24" s="23">
        <f>IF(S23="","eigener Fall",IF(ABS(S23)&lt;=0.05,"OK","ABWEICHUNG"))</f>
        <v/>
      </c>
      <c r="V24" s="23">
        <f>IF(V23="","eigener Fall",IF(ABS(V23)&lt;=0.05,"OK","ABWEICHUNG"))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Abgleich Excel gegen Engine / reconciliation</t>
        </is>
      </c>
    </row>
    <row r="2">
      <c r="A2" s="3" t="inlineStr">
        <is>
          <t>Punkte je Faktor. Alles ausser 'OK' bedeutet: eine der beiden Seiten rechnet falsch.</t>
        </is>
      </c>
    </row>
    <row r="4" ht="30" customHeight="1">
      <c r="A4" s="8" t="inlineStr">
        <is>
          <t>Faktor</t>
        </is>
      </c>
      <c r="B4" s="8" t="inlineStr">
        <is>
          <t>Mueller Praezisionstechnik GmbH</t>
        </is>
      </c>
      <c r="C4" s="8" t="inlineStr">
        <is>
          <t>Nordlicht Handel GmbH &amp; Co. KG</t>
        </is>
      </c>
      <c r="D4" s="8" t="inlineStr">
        <is>
          <t>Gastro Rheinblick GmbH</t>
        </is>
      </c>
      <c r="E4" s="8" t="inlineStr">
        <is>
          <t>Datenwerk Consulting GmbH</t>
        </is>
      </c>
      <c r="F4" s="8" t="inlineStr">
        <is>
          <t>Ihrig Sanitaer- und Heizungstechnik GmbH</t>
        </is>
      </c>
      <c r="G4" s="8" t="inlineStr">
        <is>
          <t>Hoffmann Medizintechnik GmbH</t>
        </is>
      </c>
    </row>
    <row r="5">
      <c r="A5" s="24" t="inlineStr">
        <is>
          <t>Eigenkapitalquote (wirtschaftlich)</t>
        </is>
      </c>
      <c r="B5" s="25">
        <f>IF(NOT(ISNUMBER(Scorecard!H5)),"ABWEICHUNG: Excel wertet nicht",IF(ABS(Scorecard!H5-48.50659716566216)&lt;=0.05,"OK","ABWEICHUNG "&amp;TEXT(Scorecard!H5-48.50659716566216,"0.00")))</f>
        <v/>
      </c>
      <c r="C5" s="25">
        <f>IF(NOT(ISNUMBER(Scorecard!K5)),"ABWEICHUNG: Excel wertet nicht",IF(ABS(Scorecard!K5-50.491203377902885)&lt;=0.05,"OK","ABWEICHUNG "&amp;TEXT(Scorecard!K5-50.491203377902885,"0.00")))</f>
        <v/>
      </c>
      <c r="D5" s="25">
        <f>IF(NOT(ISNUMBER(Scorecard!N5)),"ABWEICHUNG: Excel wertet nicht",IF(ABS(Scorecard!N5-0.0)&lt;=0.05,"OK","ABWEICHUNG "&amp;TEXT(Scorecard!N5-0.0,"0.00")))</f>
        <v/>
      </c>
      <c r="E5" s="25">
        <f>IF(NOT(ISNUMBER(Scorecard!Q5)),"ABWEICHUNG: Excel wertet nicht",IF(ABS(Scorecard!Q5-79.10054296948137)&lt;=0.05,"OK","ABWEICHUNG "&amp;TEXT(Scorecard!Q5-79.10054296948137,"0.00")))</f>
        <v/>
      </c>
      <c r="F5" s="25">
        <f>IF(NOT(ISNUMBER(Scorecard!T5)),"ABWEICHUNG: Excel wertet nicht",IF(ABS(Scorecard!T5-63.329906475333765)&lt;=0.05,"OK","ABWEICHUNG "&amp;TEXT(Scorecard!T5-63.329906475333765,"0.00")))</f>
        <v/>
      </c>
      <c r="G5" s="25">
        <f>IF(NOT(ISNUMBER(Scorecard!W5)),"ABWEICHUNG: Excel wertet nicht",IF(ABS(Scorecard!W5-84.86024431444758)&lt;=0.05,"OK","ABWEICHUNG "&amp;TEXT(Scorecard!W5-84.86024431444758,"0.00")))</f>
        <v/>
      </c>
    </row>
    <row r="6">
      <c r="A6" s="24" t="inlineStr">
        <is>
          <t>Kapitaldienstfaehigkeit inkl. neuer Finanzierung (DSCR)</t>
        </is>
      </c>
      <c r="B6" s="25">
        <f>IF(NOT(ISNUMBER(Scorecard!H6)),"ABWEICHUNG: Excel wertet nicht",IF(ABS(Scorecard!H6-88.00156733688883)&lt;=0.05,"OK","ABWEICHUNG "&amp;TEXT(Scorecard!H6-88.00156733688883,"0.00")))</f>
        <v/>
      </c>
      <c r="C6" s="25">
        <f>IF(NOT(ISNUMBER(Scorecard!K6)),"ABWEICHUNG: Excel wertet nicht",IF(ABS(Scorecard!K6-41.25650471620631)&lt;=0.05,"OK","ABWEICHUNG "&amp;TEXT(Scorecard!K6-41.25650471620631,"0.00")))</f>
        <v/>
      </c>
      <c r="D6" s="25">
        <f>IF(NOT(ISNUMBER(Scorecard!N6)),"ABWEICHUNG: Excel wertet nicht",IF(ABS(Scorecard!N6-0.0)&lt;=0.05,"OK","ABWEICHUNG "&amp;TEXT(Scorecard!N6-0.0,"0.00")))</f>
        <v/>
      </c>
      <c r="E6" s="25">
        <f>IF(NOT(ISNUMBER(Scorecard!Q6)),"ABWEICHUNG: Excel wertet nicht",IF(ABS(Scorecard!Q6-100.0)&lt;=0.05,"OK","ABWEICHUNG "&amp;TEXT(Scorecard!Q6-100.0,"0.00")))</f>
        <v/>
      </c>
      <c r="F6" s="25">
        <f>IF(NOT(ISNUMBER(Scorecard!T6)),"ABWEICHUNG: Excel wertet nicht",IF(ABS(Scorecard!T6-80.02917851512724)&lt;=0.05,"OK","ABWEICHUNG "&amp;TEXT(Scorecard!T6-80.02917851512724,"0.00")))</f>
        <v/>
      </c>
      <c r="G6" s="25">
        <f>IF(NOT(ISNUMBER(Scorecard!W6)),"ABWEICHUNG: Excel wertet nicht",IF(ABS(Scorecard!W6-100.0)&lt;=0.05,"OK","ABWEICHUNG "&amp;TEXT(Scorecard!W6-100.0,"0.00")))</f>
        <v/>
      </c>
    </row>
    <row r="7">
      <c r="A7" s="24" t="inlineStr">
        <is>
          <t>Dynamischer Verschuldungsgrad (Nettoverschuldung / EBITDA)</t>
        </is>
      </c>
      <c r="B7" s="25">
        <f>IF(NOT(ISNUMBER(Scorecard!H7)),"ABWEICHUNG: Excel wertet nicht",IF(ABS(Scorecard!H7-68.12)&lt;=0.05,"OK","ABWEICHUNG "&amp;TEXT(Scorecard!H7-68.12,"0.00")))</f>
        <v/>
      </c>
      <c r="C7" s="25">
        <f>IF(NOT(ISNUMBER(Scorecard!K7)),"ABWEICHUNG: Excel wertet nicht",IF(ABS(Scorecard!K7-47.15384615384615)&lt;=0.05,"OK","ABWEICHUNG "&amp;TEXT(Scorecard!K7-47.15384615384615,"0.00")))</f>
        <v/>
      </c>
      <c r="D7" s="25">
        <f>IF(NOT(ISNUMBER(Scorecard!N7)),"ABWEICHUNG: Excel wertet nicht",IF(ABS(Scorecard!N7-0.0)&lt;=0.05,"OK","ABWEICHUNG "&amp;TEXT(Scorecard!N7-0.0,"0.00")))</f>
        <v/>
      </c>
      <c r="E7" s="25">
        <f>IF(NOT(ISNUMBER(Scorecard!Q7)),"ABWEICHUNG: Excel wertet nicht",IF(ABS(Scorecard!Q7-100.0)&lt;=0.05,"OK","ABWEICHUNG "&amp;TEXT(Scorecard!Q7-100.0,"0.00")))</f>
        <v/>
      </c>
      <c r="F7" s="25">
        <f>IF(NOT(ISNUMBER(Scorecard!T7)),"ABWEICHUNG: Excel wertet nicht",IF(ABS(Scorecard!T7-79.67999999999999)&lt;=0.05,"OK","ABWEICHUNG "&amp;TEXT(Scorecard!T7-79.67999999999999,"0.00")))</f>
        <v/>
      </c>
      <c r="G7" s="25">
        <f>IF(NOT(ISNUMBER(Scorecard!W7)),"ABWEICHUNG: Excel wertet nicht",IF(ABS(Scorecard!W7-100.0)&lt;=0.05,"OK","ABWEICHUNG "&amp;TEXT(Scorecard!W7-100.0,"0.00")))</f>
        <v/>
      </c>
    </row>
    <row r="8">
      <c r="A8" s="24" t="inlineStr">
        <is>
          <t>EBIT-Marge</t>
        </is>
      </c>
      <c r="B8" s="25">
        <f>IF(NOT(ISNUMBER(Scorecard!H8)),"ABWEICHUNG: Excel wertet nicht",IF(ABS(Scorecard!H8-69.59110473457676)&lt;=0.05,"OK","ABWEICHUNG "&amp;TEXT(Scorecard!H8-69.59110473457676,"0.00")))</f>
        <v/>
      </c>
      <c r="C8" s="25">
        <f>IF(NOT(ISNUMBER(Scorecard!K8)),"ABWEICHUNG: Excel wertet nicht",IF(ABS(Scorecard!K8-62.368421052631575)&lt;=0.05,"OK","ABWEICHUNG "&amp;TEXT(Scorecard!K8-62.368421052631575,"0.00")))</f>
        <v/>
      </c>
      <c r="D8" s="25">
        <f>IF(NOT(ISNUMBER(Scorecard!N8)),"ABWEICHUNG: Excel wertet nicht",IF(ABS(Scorecard!N8-0.0)&lt;=0.05,"OK","ABWEICHUNG "&amp;TEXT(Scorecard!N8-0.0,"0.00")))</f>
        <v/>
      </c>
      <c r="E8" s="25">
        <f>IF(NOT(ISNUMBER(Scorecard!Q8)),"ABWEICHUNG: Excel wertet nicht",IF(ABS(Scorecard!Q8-77.99975502204802)&lt;=0.05,"OK","ABWEICHUNG "&amp;TEXT(Scorecard!Q8-77.99975502204802,"0.00")))</f>
        <v/>
      </c>
      <c r="F8" s="25">
        <f>IF(NOT(ISNUMBER(Scorecard!T8)),"ABWEICHUNG: Excel wertet nicht",IF(ABS(Scorecard!T8-68.55526826115062)&lt;=0.05,"OK","ABWEICHUNG "&amp;TEXT(Scorecard!T8-68.55526826115062,"0.00")))</f>
        <v/>
      </c>
      <c r="G8" s="25">
        <f>IF(NOT(ISNUMBER(Scorecard!W8)),"ABWEICHUNG: Excel wertet nicht",IF(ABS(Scorecard!W8-80.29768177028451)&lt;=0.05,"OK","ABWEICHUNG "&amp;TEXT(Scorecard!W8-80.29768177028451,"0.00")))</f>
        <v/>
      </c>
    </row>
    <row r="9">
      <c r="A9" s="24" t="inlineStr">
        <is>
          <t>Liquiditaet 2. Grades</t>
        </is>
      </c>
      <c r="B9" s="25">
        <f>IF(NOT(ISNUMBER(Scorecard!H9)),"ABWEICHUNG: Excel wertet nicht",IF(ABS(Scorecard!H9-70.7274861646822)&lt;=0.05,"OK","ABWEICHUNG "&amp;TEXT(Scorecard!H9-70.7274861646822,"0.00")))</f>
        <v/>
      </c>
      <c r="C9" s="25">
        <f>IF(NOT(ISNUMBER(Scorecard!K9)),"ABWEICHUNG: Excel wertet nicht",IF(ABS(Scorecard!K9-62.45979204289897)&lt;=0.05,"OK","ABWEICHUNG "&amp;TEXT(Scorecard!K9-62.45979204289897,"0.00")))</f>
        <v/>
      </c>
      <c r="D9" s="25">
        <f>IF(NOT(ISNUMBER(Scorecard!N9)),"ABWEICHUNG: Excel wertet nicht",IF(ABS(Scorecard!N9-7.9610266159695815)&lt;=0.05,"OK","ABWEICHUNG "&amp;TEXT(Scorecard!N9-7.9610266159695815,"0.00")))</f>
        <v/>
      </c>
      <c r="E9" s="25">
        <f>IF(NOT(ISNUMBER(Scorecard!Q9)),"ABWEICHUNG: Excel wertet nicht",IF(ABS(Scorecard!Q9-86.94036170084074)&lt;=0.05,"OK","ABWEICHUNG "&amp;TEXT(Scorecard!Q9-86.94036170084074,"0.00")))</f>
        <v/>
      </c>
      <c r="F9" s="25">
        <f>IF(NOT(ISNUMBER(Scorecard!T9)),"ABWEICHUNG: Excel wertet nicht",IF(ABS(Scorecard!T9-76.1940646157931)&lt;=0.05,"OK","ABWEICHUNG "&amp;TEXT(Scorecard!T9-76.1940646157931,"0.00")))</f>
        <v/>
      </c>
      <c r="G9" s="25">
        <f>IF(NOT(ISNUMBER(Scorecard!W9)),"ABWEICHUNG: Excel wertet nicht",IF(ABS(Scorecard!W9-89.26782798040283)&lt;=0.05,"OK","ABWEICHUNG "&amp;TEXT(Scorecard!W9-89.26782798040283,"0.00")))</f>
        <v/>
      </c>
    </row>
    <row r="10">
      <c r="A10" s="24" t="inlineStr">
        <is>
          <t>Zinsdeckungsgrad (EBIT / Zinsaufwand)</t>
        </is>
      </c>
      <c r="B10" s="25">
        <f>IF(NOT(ISNUMBER(Scorecard!H10)),"ABWEICHUNG: Excel wertet nicht",IF(ABS(Scorecard!H10-79.0)&lt;=0.05,"OK","ABWEICHUNG "&amp;TEXT(Scorecard!H10-79.0,"0.00")))</f>
        <v/>
      </c>
      <c r="C10" s="25">
        <f>IF(NOT(ISNUMBER(Scorecard!K10)),"ABWEICHUNG: Excel wertet nicht",IF(ABS(Scorecard!K10-49.7972972972973)&lt;=0.05,"OK","ABWEICHUNG "&amp;TEXT(Scorecard!K10-49.7972972972973,"0.00")))</f>
        <v/>
      </c>
      <c r="D10" s="25">
        <f>IF(NOT(ISNUMBER(Scorecard!N10)),"ABWEICHUNG: Excel wertet nicht",IF(ABS(Scorecard!N10-0.0)&lt;=0.05,"OK","ABWEICHUNG "&amp;TEXT(Scorecard!N10-0.0,"0.00")))</f>
        <v/>
      </c>
      <c r="E10" s="25">
        <f>IF(NOT(ISNUMBER(Scorecard!Q10)),"ABWEICHUNG: Excel wertet nicht",IF(ABS(Scorecard!Q10-100.0)&lt;=0.05,"OK","ABWEICHUNG "&amp;TEXT(Scorecard!Q10-100.0,"0.00")))</f>
        <v/>
      </c>
      <c r="F10" s="25">
        <f>IF(NOT(ISNUMBER(Scorecard!T10)),"ABWEICHUNG: Excel wertet nicht",IF(ABS(Scorecard!T10-84.82352941176471)&lt;=0.05,"OK","ABWEICHUNG "&amp;TEXT(Scorecard!T10-84.82352941176471,"0.00")))</f>
        <v/>
      </c>
      <c r="G10" s="25">
        <f>IF(NOT(ISNUMBER(Scorecard!W10)),"ABWEICHUNG: Excel wertet nicht",IF(ABS(Scorecard!W10-100.0)&lt;=0.05,"OK","ABWEICHUNG "&amp;TEXT(Scorecard!W10-100.0,"0.00")))</f>
        <v/>
      </c>
    </row>
    <row r="11">
      <c r="A11" s="24" t="inlineStr">
        <is>
          <t>Kontokorrent-Auslastung</t>
        </is>
      </c>
      <c r="B11" s="25">
        <f>IF(NOT(ISNUMBER(Scorecard!H11)),"ABWEICHUNG: Excel wertet nicht",IF(ABS(Scorecard!H11-38.20000000000001)&lt;=0.05,"OK","ABWEICHUNG "&amp;TEXT(Scorecard!H11-38.20000000000001,"0.00")))</f>
        <v/>
      </c>
      <c r="C11" s="25">
        <f>IF(NOT(ISNUMBER(Scorecard!K11)),"ABWEICHUNG: Excel wertet nicht",IF(ABS(Scorecard!K11-14.799999999999994)&lt;=0.05,"OK","ABWEICHUNG "&amp;TEXT(Scorecard!K11-14.799999999999994,"0.00")))</f>
        <v/>
      </c>
      <c r="D11" s="25">
        <f>IF(NOT(ISNUMBER(Scorecard!N11)),"ABWEICHUNG: Excel wertet nicht",IF(ABS(Scorecard!N11-19.00000000000001)&lt;=0.05,"OK","ABWEICHUNG "&amp;TEXT(Scorecard!N11-19.00000000000001,"0.00")))</f>
        <v/>
      </c>
      <c r="E11" s="25">
        <f>IF(NOT(ISNUMBER(Scorecard!Q11)),"ABWEICHUNG: Excel wertet nicht",IF(ABS(Scorecard!Q11-100.0)&lt;=0.05,"OK","ABWEICHUNG "&amp;TEXT(Scorecard!Q11-100.0,"0.00")))</f>
        <v/>
      </c>
      <c r="F11" s="25">
        <f>IF(NOT(ISNUMBER(Scorecard!T11)),"ABWEICHUNG: Excel wertet nicht",IF(ABS(Scorecard!T11-88.4)&lt;=0.05,"OK","ABWEICHUNG "&amp;TEXT(Scorecard!T11-88.4,"0.00")))</f>
        <v/>
      </c>
      <c r="G11" s="25">
        <f>IF(NOT(ISNUMBER(Scorecard!W11)),"ABWEICHUNG: Excel wertet nicht",IF(ABS(Scorecard!W11-100.0)&lt;=0.05,"OK","ABWEICHUNG "&amp;TEXT(Scorecard!W11-100.0,"0.00")))</f>
        <v/>
      </c>
    </row>
    <row r="12">
      <c r="A12" s="24" t="inlineStr">
        <is>
          <t>Aktualitaet der BWA</t>
        </is>
      </c>
      <c r="B12" s="25">
        <f>IF(NOT(ISNUMBER(Scorecard!H12)),"ABWEICHUNG: Excel wertet nicht",IF(ABS(Scorecard!H12-43.5)&lt;=0.05,"OK","ABWEICHUNG "&amp;TEXT(Scorecard!H12-43.5,"0.00")))</f>
        <v/>
      </c>
      <c r="C12" s="25">
        <f>IF(NOT(ISNUMBER(Scorecard!K12)),"ABWEICHUNG: Excel wertet nicht",IF(ABS(Scorecard!K12-90.0)&lt;=0.05,"OK","ABWEICHUNG "&amp;TEXT(Scorecard!K12-90.0,"0.00")))</f>
        <v/>
      </c>
      <c r="D12" s="25">
        <f>IF(NOT(ISNUMBER(Scorecard!N12)),"ABWEICHUNG: Excel wertet nicht",IF(ABS(Scorecard!N12-25.333333333333336)&lt;=0.05,"OK","ABWEICHUNG "&amp;TEXT(Scorecard!N12-25.333333333333336,"0.00")))</f>
        <v/>
      </c>
      <c r="E12" s="25">
        <f>IF(NOT(ISNUMBER(Scorecard!Q12)),"ABWEICHUNG: Excel wertet nicht",IF(ABS(Scorecard!Q12-90.0)&lt;=0.05,"OK","ABWEICHUNG "&amp;TEXT(Scorecard!Q12-90.0,"0.00")))</f>
        <v/>
      </c>
      <c r="F12" s="25">
        <f>IF(NOT(ISNUMBER(Scorecard!T12)),"ABWEICHUNG: Excel wertet nicht",IF(ABS(Scorecard!T12-12.0)&lt;=0.05,"OK","ABWEICHUNG "&amp;TEXT(Scorecard!T12-12.0,"0.00")))</f>
        <v/>
      </c>
      <c r="G12" s="25">
        <f>IF(NOT(ISNUMBER(Scorecard!W12)),"ABWEICHUNG: Excel wertet nicht",IF(ABS(Scorecard!W12-100.0)&lt;=0.05,"OK","ABWEICHUNG "&amp;TEXT(Scorecard!W12-100.0,"0.00")))</f>
        <v/>
      </c>
    </row>
    <row r="13">
      <c r="A13" s="24" t="inlineStr">
        <is>
          <t>Creditreform Bonitaetsindex</t>
        </is>
      </c>
      <c r="B13" s="25">
        <f>IF(NOT(ISNUMBER(Scorecard!H13)),"ABWEICHUNG: Excel wertet nicht",IF(ABS(Scorecard!H13-72.52)&lt;=0.05,"OK","ABWEICHUNG "&amp;TEXT(Scorecard!H13-72.52,"0.00")))</f>
        <v/>
      </c>
      <c r="C13" s="25">
        <f>IF(NOT(ISNUMBER(Scorecard!K13)),"ABWEICHUNG: Excel wertet nicht",IF(ABS(Scorecard!K13-58.74)&lt;=0.05,"OK","ABWEICHUNG "&amp;TEXT(Scorecard!K13-58.74,"0.00")))</f>
        <v/>
      </c>
      <c r="D13" s="25">
        <f>IF(NOT(ISNUMBER(Scorecard!N13)),"ABWEICHUNG: Excel wertet nicht",IF(ABS(Scorecard!N13-23.439999999999998)&lt;=0.05,"OK","ABWEICHUNG "&amp;TEXT(Scorecard!N13-23.439999999999998,"0.00")))</f>
        <v/>
      </c>
      <c r="E13" s="25">
        <f>IF(NOT(ISNUMBER(Scorecard!Q13)),"ABWEICHUNG: Excel wertet nicht",IF(ABS(Scorecard!Q13-86.0)&lt;=0.05,"OK","ABWEICHUNG "&amp;TEXT(Scorecard!Q13-86.0,"0.00")))</f>
        <v/>
      </c>
      <c r="F13" s="25">
        <f>IF(NOT(ISNUMBER(Scorecard!T13)),"ABWEICHUNG: Excel wertet nicht",IF(ABS(Scorecard!T13-67.92)&lt;=0.05,"OK","ABWEICHUNG "&amp;TEXT(Scorecard!T13-67.92,"0.00")))</f>
        <v/>
      </c>
      <c r="G13" s="25">
        <f>IF(NOT(ISNUMBER(Scorecard!W13)),"ABWEICHUNG: Excel wertet nicht",IF(ABS(Scorecard!W13-91.4)&lt;=0.05,"OK","ABWEICHUNG "&amp;TEXT(Scorecard!W13-91.4,"0.00")))</f>
        <v/>
      </c>
    </row>
    <row r="14">
      <c r="A14" s="24" t="inlineStr">
        <is>
          <t>Zahlungsverhalten</t>
        </is>
      </c>
      <c r="B14" s="25">
        <f>IF(NOT(ISNUMBER(Scorecard!H14)),"ABWEICHUNG: Excel wertet nicht",IF(ABS(Scorecard!H14-70.0)&lt;=0.05,"OK","ABWEICHUNG "&amp;TEXT(Scorecard!H14-70.0,"0.00")))</f>
        <v/>
      </c>
      <c r="C14" s="25">
        <f>IF(NOT(ISNUMBER(Scorecard!K14)),"ABWEICHUNG: Excel wertet nicht",IF(ABS(Scorecard!K14-50.0)&lt;=0.05,"OK","ABWEICHUNG "&amp;TEXT(Scorecard!K14-50.0,"0.00")))</f>
        <v/>
      </c>
      <c r="D14" s="25">
        <f>IF(NOT(ISNUMBER(Scorecard!N14)),"ABWEICHUNG: Excel wertet nicht",IF(ABS(Scorecard!N14-0.0)&lt;=0.05,"OK","ABWEICHUNG "&amp;TEXT(Scorecard!N14-0.0,"0.00")))</f>
        <v/>
      </c>
      <c r="E14" s="25">
        <f>IF(NOT(ISNUMBER(Scorecard!Q14)),"ABWEICHUNG: Excel wertet nicht",IF(ABS(Scorecard!Q14-95.0)&lt;=0.05,"OK","ABWEICHUNG "&amp;TEXT(Scorecard!Q14-95.0,"0.00")))</f>
        <v/>
      </c>
      <c r="F14" s="25">
        <f>IF(NOT(ISNUMBER(Scorecard!T14)),"ABWEICHUNG: Excel wertet nicht",IF(ABS(Scorecard!T14-90.0)&lt;=0.05,"OK","ABWEICHUNG "&amp;TEXT(Scorecard!T14-90.0,"0.00")))</f>
        <v/>
      </c>
      <c r="G14" s="25">
        <f>IF(NOT(ISNUMBER(Scorecard!W14)),"ABWEICHUNG: Excel wertet nicht",IF(ABS(Scorecard!W14-100.0)&lt;=0.05,"OK","ABWEICHUNG "&amp;TEXT(Scorecard!W14-100.0,"0.00")))</f>
        <v/>
      </c>
    </row>
    <row r="16">
      <c r="A16" s="4" t="inlineStr">
        <is>
          <t>Gesamtscore Excel</t>
        </is>
      </c>
      <c r="B16" s="6">
        <f>ROUND(Scorecard!G19,1)</f>
        <v/>
      </c>
      <c r="C16" s="6">
        <f>ROUND(Scorecard!J19,1)</f>
        <v/>
      </c>
      <c r="D16" s="6">
        <f>ROUND(Scorecard!M19,1)</f>
        <v/>
      </c>
      <c r="E16" s="6">
        <f>ROUND(Scorecard!P19,1)</f>
        <v/>
      </c>
      <c r="F16" s="6">
        <f>ROUND(Scorecard!S19,1)</f>
        <v/>
      </c>
      <c r="G16" s="6">
        <f>ROUND(Scorecard!V19,1)</f>
        <v/>
      </c>
    </row>
    <row r="17">
      <c r="A17" s="4" t="inlineStr">
        <is>
          <t>Gesamtscore Engine</t>
        </is>
      </c>
      <c r="B17" s="6" t="n">
        <v>66.40000000000001</v>
      </c>
      <c r="C17" s="6" t="n">
        <v>50.7</v>
      </c>
      <c r="D17" s="6" t="n">
        <v>4.2</v>
      </c>
      <c r="E17" s="6" t="n">
        <v>90.7</v>
      </c>
      <c r="F17" s="6" t="n">
        <v>72.09999999999999</v>
      </c>
      <c r="G17" s="6" t="n">
        <v>93.3</v>
      </c>
    </row>
    <row r="18">
      <c r="A18" s="4" t="inlineStr">
        <is>
          <t>Band Excel / Engine</t>
        </is>
      </c>
      <c r="B18">
        <f>Scorecard!G20&amp;" / B"</f>
        <v/>
      </c>
      <c r="C18">
        <f>Scorecard!J20&amp;" / D"</f>
        <v/>
      </c>
      <c r="D18">
        <f>Scorecard!M20&amp;" / E"</f>
        <v/>
      </c>
      <c r="E18">
        <f>Scorecard!P20&amp;" / A"</f>
        <v/>
      </c>
      <c r="F18">
        <f>Scorecard!S20&amp;" / B"</f>
        <v/>
      </c>
      <c r="G18">
        <f>Scorecard!V20&amp;" / A"</f>
        <v/>
      </c>
    </row>
    <row r="19">
      <c r="A19" s="4" t="inlineStr">
        <is>
          <t>Gesamturteil</t>
        </is>
      </c>
      <c r="B19" s="23">
        <f>IF(COUNTIF(B5:B14,"OK*")=10,IF(ABS(B16-B17)&lt;=0.05,"ALLES OK","SCORE WEICHT AB"),"FAKTOR WEICHT AB")</f>
        <v/>
      </c>
      <c r="C19" s="23">
        <f>IF(COUNTIF(C5:C14,"OK*")=10,IF(ABS(C16-C17)&lt;=0.05,"ALLES OK","SCORE WEICHT AB"),"FAKTOR WEICHT AB")</f>
        <v/>
      </c>
      <c r="D19" s="23">
        <f>IF(COUNTIF(D5:D14,"OK*")=10,IF(ABS(D16-D17)&lt;=0.05,"ALLES OK","SCORE WEICHT AB"),"FAKTOR WEICHT AB")</f>
        <v/>
      </c>
      <c r="E19" s="23">
        <f>IF(COUNTIF(E5:E14,"OK*")=10,IF(ABS(E16-E17)&lt;=0.05,"ALLES OK","SCORE WEICHT AB"),"FAKTOR WEICHT AB")</f>
        <v/>
      </c>
      <c r="F19" s="23">
        <f>IF(COUNTIF(F5:F14,"OK*")=10,IF(ABS(F16-F17)&lt;=0.05,"ALLES OK","SCORE WEICHT AB"),"FAKTOR WEICHT AB")</f>
        <v/>
      </c>
      <c r="G19" s="23">
        <f>IF(COUNTIF(G5:G14,"OK*")=10,IF(ABS(G16-G17)&lt;=0.05,"ALLES OK","SCORE WEICHT AB"),"FAKTOR WEICHT AB")</f>
        <v/>
      </c>
    </row>
    <row r="21">
      <c r="A21" s="7" t="inlineStr">
        <is>
          <t>Einordnung der Engine (nachrichtlich)</t>
        </is>
      </c>
      <c r="B21" t="inlineStr">
        <is>
          <t>behebbar - Struktur, Produkt oder Besicherung</t>
        </is>
      </c>
      <c r="C21" t="inlineStr">
        <is>
          <t>behebbar - Struktur, Produkt oder Besicherung</t>
        </is>
      </c>
      <c r="D21" t="inlineStr">
        <is>
          <t>nicht behebbar - substanzielles Kreditrisiko</t>
        </is>
      </c>
      <c r="E21" t="inlineStr">
        <is>
          <t>behebbar - Struktur, Produkt oder Besicherung</t>
        </is>
      </c>
      <c r="F21" t="inlineStr">
        <is>
          <t>behebbar - Struktur, Produkt oder Besicherung</t>
        </is>
      </c>
      <c r="G21" t="inlineStr">
        <is>
          <t>bereits finanzierbar</t>
        </is>
      </c>
    </row>
    <row r="22">
      <c r="A22" s="4" t="inlineStr">
        <is>
          <t>Befunde (Regel-IDs)</t>
        </is>
      </c>
      <c r="B22" t="inlineStr">
        <is>
          <t>R01, R03, R04, R05, R06, R07, R02</t>
        </is>
      </c>
      <c r="C22" t="inlineStr">
        <is>
          <t>R04, R03, R05</t>
        </is>
      </c>
      <c r="D22" t="inlineStr">
        <is>
          <t>R08, R09, R02, R03, R06</t>
        </is>
      </c>
      <c r="E22" t="inlineStr">
        <is>
          <t>R05, R07</t>
        </is>
      </c>
      <c r="F22" t="inlineStr">
        <is>
          <t>R02, R03, R05</t>
        </is>
      </c>
      <c r="G22" t="inlineStr">
        <is>
          <t>keine</t>
        </is>
      </c>
    </row>
    <row r="23">
      <c r="A23" s="4" t="inlineStr">
        <is>
          <t>Score nach Massnahmen -&gt; Band</t>
        </is>
      </c>
      <c r="B23" t="inlineStr">
        <is>
          <t>80.3 -&gt; A</t>
        </is>
      </c>
      <c r="C23" t="inlineStr">
        <is>
          <t>64.7 -&gt; C</t>
        </is>
      </c>
      <c r="D23" t="inlineStr">
        <is>
          <t>8.7 -&gt; E</t>
        </is>
      </c>
      <c r="E23" t="inlineStr">
        <is>
          <t>90.7 -&gt; A</t>
        </is>
      </c>
      <c r="F23" t="inlineStr">
        <is>
          <t>79.7 -&gt; A</t>
        </is>
      </c>
      <c r="G23" t="inlineStr">
        <is>
          <t>93.3 -&gt; A</t>
        </is>
      </c>
    </row>
    <row r="25">
      <c r="A25" s="3" t="inlineStr">
        <is>
          <t>Diese drei Zeilen kommen aus der Engine und werden hier nicht nachgerechnet -- die Simulation prueft man ueber den Bericht.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6" customWidth="1" min="3" max="3"/>
    <col width="12" customWidth="1" min="4" max="4"/>
    <col width="26" customWidth="1" min="5" max="5"/>
    <col width="36" customWidth="1" min="6" max="6"/>
  </cols>
  <sheetData>
    <row r="1">
      <c r="A1" s="1" t="inlineStr">
        <is>
          <t>Testprotokoll / test log</t>
        </is>
      </c>
    </row>
    <row r="2">
      <c r="A2" s="3" t="inlineStr">
        <is>
          <t>Was jede Zeile genau verlangt, steht in docs/testing/test-plan.md. Hier nur eintragen: Datum, Ergebnis, offene Punkte.</t>
        </is>
      </c>
    </row>
    <row r="4" ht="30" customHeight="1">
      <c r="A4" s="8" t="inlineStr">
        <is>
          <t>ID</t>
        </is>
      </c>
      <c r="B4" s="8" t="inlineStr">
        <is>
          <t>Was geprueft wird</t>
        </is>
      </c>
      <c r="C4" s="8" t="inlineStr">
        <is>
          <t>Erwartetes Ergebnis</t>
        </is>
      </c>
      <c r="D4" s="8" t="inlineStr">
        <is>
          <t>Datum</t>
        </is>
      </c>
      <c r="E4" s="8" t="inlineStr">
        <is>
          <t>Ergebnis (OK / Abweichung)</t>
        </is>
      </c>
      <c r="F4" s="8" t="inlineStr">
        <is>
          <t>Bemerkung</t>
        </is>
      </c>
    </row>
    <row r="5">
      <c r="A5" s="9" t="inlineStr">
        <is>
          <t>Auslesen von Jahresabschluessen</t>
        </is>
      </c>
      <c r="B5" s="10" t="inlineStr"/>
      <c r="C5" s="11" t="n"/>
      <c r="D5" s="11" t="n"/>
      <c r="E5" s="11" t="n"/>
      <c r="F5" s="11" t="n"/>
    </row>
    <row r="6">
      <c r="A6" s="4" t="inlineStr">
        <is>
          <t>DOC-01</t>
        </is>
      </c>
      <c r="B6" t="inlineStr">
        <is>
          <t>Standard-Jahresabschluss GmbH (Text-PDF)</t>
        </is>
      </c>
      <c r="C6" t="inlineStr">
        <is>
          <t>Alle 33 Felder, Bilanzprobe OK</t>
        </is>
      </c>
      <c r="D6" s="26" t="n"/>
      <c r="E6" s="26" t="n"/>
      <c r="F6" s="26" t="n"/>
    </row>
    <row r="7">
      <c r="A7" s="4" t="inlineStr">
        <is>
          <t>DOC-02</t>
        </is>
      </c>
      <c r="B7" t="inlineStr">
        <is>
          <t>Verkuerzte Bilanz (Kleinstkapitalgesellschaft)</t>
        </is>
      </c>
      <c r="C7" t="inlineStr">
        <is>
          <t>Nur Hauptgruppen; Fehlendes wird gemeldet, nicht geraten</t>
        </is>
      </c>
      <c r="D7" s="26" t="n"/>
      <c r="E7" s="26" t="n"/>
      <c r="F7" s="26" t="n"/>
    </row>
    <row r="8">
      <c r="A8" s="4" t="inlineStr">
        <is>
          <t>DOC-03</t>
        </is>
      </c>
      <c r="B8" t="inlineStr">
        <is>
          <t>'davon mit einer Restlaufzeit bis zu einem Jahr'</t>
        </is>
      </c>
      <c r="C8" t="inlineStr">
        <is>
          <t>Kurz- und langfristig korrekt getrennt</t>
        </is>
      </c>
      <c r="D8" s="26" t="n"/>
      <c r="E8" s="26" t="n"/>
      <c r="F8" s="26" t="n"/>
    </row>
    <row r="9">
      <c r="A9" s="4" t="inlineStr">
        <is>
          <t>DOC-04</t>
        </is>
      </c>
      <c r="B9" t="inlineStr">
        <is>
          <t>GmbH &amp; Co. KG (Kapitalanteile statt gez. Kapital)</t>
        </is>
      </c>
      <c r="C9" t="inlineStr">
        <is>
          <t>Eigenkapital korrekt</t>
        </is>
      </c>
      <c r="D9" s="26" t="n"/>
      <c r="E9" s="26" t="n"/>
      <c r="F9" s="26" t="n"/>
    </row>
    <row r="10">
      <c r="A10" s="4" t="inlineStr">
        <is>
          <t>DOC-05</t>
        </is>
      </c>
      <c r="B10" t="inlineStr">
        <is>
          <t>Einzelunternehmen (Eigenkapital in einer Zeile)</t>
        </is>
      </c>
      <c r="C10" t="inlineStr">
        <is>
          <t>Eigenkapital korrekt</t>
        </is>
      </c>
      <c r="D10" s="26" t="n"/>
      <c r="E10" s="26" t="n"/>
      <c r="F10" s="26" t="n"/>
    </row>
    <row r="11">
      <c r="A11" s="4" t="inlineStr">
        <is>
          <t>DOC-06</t>
        </is>
      </c>
      <c r="B11" t="inlineStr">
        <is>
          <t>Zahlen in TEUR</t>
        </is>
      </c>
      <c r="C11" t="inlineStr">
        <is>
          <t>Faktor 1.000 erkannt oder Auslesung verweigert</t>
        </is>
      </c>
      <c r="D11" s="26" t="n"/>
      <c r="E11" s="26" t="n"/>
      <c r="F11" s="26" t="n"/>
    </row>
    <row r="12">
      <c r="A12" s="4" t="inlineStr">
        <is>
          <t>DOC-07</t>
        </is>
      </c>
      <c r="B12" t="inlineStr">
        <is>
          <t>Vorjahresspalte links statt rechts</t>
        </is>
      </c>
      <c r="C12" t="inlineStr">
        <is>
          <t>Aktuelles Jahr ausgelesen</t>
        </is>
      </c>
      <c r="D12" s="26" t="n"/>
      <c r="E12" s="26" t="n"/>
      <c r="F12" s="26" t="n"/>
    </row>
    <row r="13">
      <c r="A13" s="4" t="inlineStr">
        <is>
          <t>DOC-08</t>
        </is>
      </c>
      <c r="B13" t="inlineStr">
        <is>
          <t>Nicht durch Eigenkapital gedeckter Fehlbetrag (Aktivseite)</t>
        </is>
      </c>
      <c r="C13" t="inlineStr">
        <is>
          <t>Eigenkapital negativ</t>
        </is>
      </c>
      <c r="D13" s="26" t="n"/>
      <c r="E13" s="26" t="n"/>
      <c r="F13" s="26" t="n"/>
    </row>
    <row r="14">
      <c r="A14" s="4" t="inlineStr">
        <is>
          <t>DOC-09</t>
        </is>
      </c>
      <c r="B14" t="inlineStr">
        <is>
          <t>Scan oder Foto, leicht schief</t>
        </is>
      </c>
      <c r="C14" t="inlineStr">
        <is>
          <t>Lokal: klarer Fehler. Claude: liest</t>
        </is>
      </c>
      <c r="D14" s="26" t="n"/>
      <c r="E14" s="26" t="n"/>
      <c r="F14" s="26" t="n"/>
    </row>
    <row r="15">
      <c r="A15" s="4" t="inlineStr">
        <is>
          <t>DOC-10</t>
        </is>
      </c>
      <c r="B15" t="inlineStr">
        <is>
          <t>Beschaedigte oder passwortgeschuetzte Datei</t>
        </is>
      </c>
      <c r="C15" t="inlineStr">
        <is>
          <t>Klare Meldung, kein Absturz</t>
        </is>
      </c>
      <c r="D15" s="26" t="n"/>
      <c r="E15" s="26" t="n"/>
      <c r="F15" s="26" t="n"/>
    </row>
    <row r="16">
      <c r="A16" s="4" t="inlineStr">
        <is>
          <t>DOC-11</t>
        </is>
      </c>
      <c r="B16" t="inlineStr">
        <is>
          <t>Falsches Dokument (z. B. Rechnung)</t>
        </is>
      </c>
      <c r="C16" t="inlineStr">
        <is>
          <t>Keine Zahlen, Hinweis an den Nutzer</t>
        </is>
      </c>
      <c r="D16" s="26" t="n"/>
      <c r="E16" s="26" t="n"/>
      <c r="F16" s="26" t="n"/>
    </row>
    <row r="17">
      <c r="A17" s="4" t="inlineStr">
        <is>
          <t>DOC-12</t>
        </is>
      </c>
      <c r="B17" t="inlineStr">
        <is>
          <t>Langer Geschaeftsbericht mit Anhang</t>
        </is>
      </c>
      <c r="C17" t="inlineStr">
        <is>
          <t>Richtige Tabellen gefunden</t>
        </is>
      </c>
      <c r="D17" s="26" t="n"/>
      <c r="E17" s="26" t="n"/>
      <c r="F17" s="26" t="n"/>
    </row>
    <row r="18">
      <c r="A18" s="4" t="inlineStr">
        <is>
          <t>DOC-13</t>
        </is>
      </c>
      <c r="B18" t="inlineStr">
        <is>
          <t>Absichtlich unausgeglichene Bilanz</t>
        </is>
      </c>
      <c r="C18" t="inlineStr">
        <is>
          <t>Konsistenzpruefung schlaegt an</t>
        </is>
      </c>
      <c r="D18" s="26" t="n"/>
      <c r="E18" s="26" t="n"/>
      <c r="F18" s="26" t="n"/>
    </row>
    <row r="19">
      <c r="A19" s="9" t="inlineStr">
        <is>
          <t>DATEV und BWA</t>
        </is>
      </c>
      <c r="B19" s="10" t="inlineStr"/>
      <c r="C19" s="11" t="n"/>
      <c r="D19" s="11" t="n"/>
      <c r="E19" s="11" t="n"/>
      <c r="F19" s="11" t="n"/>
    </row>
    <row r="20">
      <c r="A20" s="4" t="inlineStr">
        <is>
          <t>DTV-01</t>
        </is>
      </c>
      <c r="B20" t="inlineStr">
        <is>
          <t>SuSa SKR04, laufendes Jahr, CSV in cp1252</t>
        </is>
      </c>
      <c r="C20" t="inlineStr">
        <is>
          <t>Eingelesen, deutsche Zahlen korrekt</t>
        </is>
      </c>
      <c r="D20" s="26" t="n"/>
      <c r="E20" s="26" t="n"/>
      <c r="F20" s="26" t="n"/>
    </row>
    <row r="21">
      <c r="A21" s="4" t="inlineStr">
        <is>
          <t>DTV-02</t>
        </is>
      </c>
      <c r="B21" t="inlineStr">
        <is>
          <t>SuSa Vorjahr</t>
        </is>
      </c>
      <c r="C21" t="inlineStr">
        <is>
          <t>Vorjahresvergleich und Umsatzwachstum</t>
        </is>
      </c>
      <c r="D21" s="26" t="n"/>
      <c r="E21" s="26" t="n"/>
      <c r="F21" s="26" t="n"/>
    </row>
    <row r="22">
      <c r="A22" s="4" t="inlineStr">
        <is>
          <t>DTV-03</t>
        </is>
      </c>
      <c r="B22" t="inlineStr">
        <is>
          <t>SuSa nach SKR03</t>
        </is>
      </c>
      <c r="C22" t="inlineStr">
        <is>
          <t>Ausdrueckliche Ablehnung statt Schaetzung</t>
        </is>
      </c>
      <c r="D22" s="26" t="n"/>
      <c r="E22" s="26" t="n"/>
      <c r="F22" s="26" t="n"/>
    </row>
    <row r="23">
      <c r="A23" s="4" t="inlineStr">
        <is>
          <t>DTV-04</t>
        </is>
      </c>
      <c r="B23" t="inlineStr">
        <is>
          <t>BWA ueber 6 Monate (Rumpfperiode)</t>
        </is>
      </c>
      <c r="C23" t="inlineStr">
        <is>
          <t>Annualisierung greift</t>
        </is>
      </c>
      <c r="D23" s="26" t="n"/>
      <c r="E23" s="26" t="n"/>
      <c r="F23" s="26" t="n"/>
    </row>
    <row r="24">
      <c r="A24" s="4" t="inlineStr">
        <is>
          <t>DTV-05</t>
        </is>
      </c>
      <c r="B24" t="inlineStr">
        <is>
          <t>Unbekannte Kontenbereiche</t>
        </is>
      </c>
      <c r="C24" t="inlineStr">
        <is>
          <t>Gemeldet, nicht stillschweigend ignoriert</t>
        </is>
      </c>
      <c r="D24" s="26" t="n"/>
      <c r="E24" s="26" t="n"/>
      <c r="F24" s="26" t="n"/>
    </row>
    <row r="25">
      <c r="A25" s="9" t="inlineStr">
        <is>
          <t>Kontoumsaetze</t>
        </is>
      </c>
      <c r="B25" s="10" t="inlineStr"/>
      <c r="C25" s="11" t="n"/>
      <c r="D25" s="11" t="n"/>
      <c r="E25" s="11" t="n"/>
      <c r="F25" s="11" t="n"/>
    </row>
    <row r="26">
      <c r="A26" s="4" t="inlineStr">
        <is>
          <t>BNK-01</t>
        </is>
      </c>
      <c r="B26" t="inlineStr">
        <is>
          <t>Sparkassen-CSV</t>
        </is>
      </c>
      <c r="C26" t="inlineStr">
        <is>
          <t>Tage am Limit und Ruecklastschriften erkannt</t>
        </is>
      </c>
      <c r="D26" s="26" t="n"/>
      <c r="E26" s="26" t="n"/>
      <c r="F26" s="26" t="n"/>
    </row>
    <row r="27">
      <c r="A27" s="4" t="inlineStr">
        <is>
          <t>BNK-02</t>
        </is>
      </c>
      <c r="B27" t="inlineStr">
        <is>
          <t>Anderes Bankformat</t>
        </is>
      </c>
      <c r="C27" t="inlineStr">
        <is>
          <t>Eingelesen oder klar abgelehnt</t>
        </is>
      </c>
      <c r="D27" s="26" t="n"/>
      <c r="E27" s="26" t="n"/>
      <c r="F27" s="26" t="n"/>
    </row>
    <row r="28">
      <c r="A28" s="4" t="inlineStr">
        <is>
          <t>BNK-03</t>
        </is>
      </c>
      <c r="B28" t="inlineStr">
        <is>
          <t>Deutsche Zahlen (1.234,56)</t>
        </is>
      </c>
      <c r="C28" t="inlineStr">
        <is>
          <t>Korrekt interpretiert</t>
        </is>
      </c>
      <c r="D28" s="26" t="n"/>
      <c r="E28" s="26" t="n"/>
      <c r="F28" s="26" t="n"/>
    </row>
    <row r="29">
      <c r="A29" s="4" t="inlineStr">
        <is>
          <t>BNK-04</t>
        </is>
      </c>
      <c r="B29" t="inlineStr">
        <is>
          <t>Zwei und vier Ruecklastschriften</t>
        </is>
      </c>
      <c r="C29" t="inlineStr">
        <is>
          <t>Index faellt um 24, dann um 30 - Deckel bei 30</t>
        </is>
      </c>
      <c r="D29" s="26" t="n"/>
      <c r="E29" s="26" t="n"/>
      <c r="F29" s="26" t="n"/>
    </row>
    <row r="30">
      <c r="A30" s="9" t="inlineStr">
        <is>
          <t>Plausibilitaet: muss blockieren oder warnen</t>
        </is>
      </c>
      <c r="B30" s="10" t="inlineStr"/>
      <c r="C30" s="11" t="n"/>
      <c r="D30" s="11" t="n"/>
      <c r="E30" s="11" t="n"/>
      <c r="F30" s="11" t="n"/>
    </row>
    <row r="31">
      <c r="A31" s="4" t="inlineStr">
        <is>
          <t>VAL-01</t>
        </is>
      </c>
      <c r="B31" t="inlineStr">
        <is>
          <t>Aktiva-Passiva-Luecke groesser 0,5%</t>
        </is>
      </c>
      <c r="C31" t="inlineStr">
        <is>
          <t>FEHLER, Auswertung verweigert</t>
        </is>
      </c>
      <c r="D31" s="26" t="n"/>
      <c r="E31" s="26" t="n"/>
      <c r="F31" s="26" t="n"/>
    </row>
    <row r="32">
      <c r="A32" s="4" t="inlineStr">
        <is>
          <t>VAL-02</t>
        </is>
      </c>
      <c r="B32" t="inlineStr">
        <is>
          <t>Ergebnis GuV weicht vom Ergebnis der Bilanz ab</t>
        </is>
      </c>
      <c r="C32" t="inlineStr">
        <is>
          <t>FEHLER, Auswertung verweigert</t>
        </is>
      </c>
      <c r="D32" s="26" t="n"/>
      <c r="E32" s="26" t="n"/>
      <c r="F32" s="26" t="n"/>
    </row>
    <row r="33">
      <c r="A33" s="4" t="inlineStr">
        <is>
          <t>VAL-03</t>
        </is>
      </c>
      <c r="B33" t="inlineStr">
        <is>
          <t>Periodenlaenge 13 Monate</t>
        </is>
      </c>
      <c r="C33" t="inlineStr">
        <is>
          <t>FEHLER</t>
        </is>
      </c>
      <c r="D33" s="26" t="n"/>
      <c r="E33" s="26" t="n"/>
      <c r="F33" s="26" t="n"/>
    </row>
    <row r="34">
      <c r="A34" s="4" t="inlineStr">
        <is>
          <t>VAL-04</t>
        </is>
      </c>
      <c r="B34" t="inlineStr">
        <is>
          <t>Umsatz null</t>
        </is>
      </c>
      <c r="C34" t="inlineStr">
        <is>
          <t>FEHLER</t>
        </is>
      </c>
      <c r="D34" s="26" t="n"/>
      <c r="E34" s="26" t="n"/>
      <c r="F34" s="26" t="n"/>
    </row>
    <row r="35">
      <c r="A35" s="4" t="inlineStr">
        <is>
          <t>VAL-05</t>
        </is>
      </c>
      <c r="B35" t="inlineStr">
        <is>
          <t>Kontokorrent ueber das Limit gezogen</t>
        </is>
      </c>
      <c r="C35" t="inlineStr">
        <is>
          <t>WARNUNG, laeuft weiter</t>
        </is>
      </c>
      <c r="D35" s="26" t="n"/>
      <c r="E35" s="26" t="n"/>
      <c r="F35" s="26" t="n"/>
    </row>
    <row r="36">
      <c r="A36" s="4" t="inlineStr">
        <is>
          <t>VAL-06</t>
        </is>
      </c>
      <c r="B36" t="inlineStr">
        <is>
          <t>Darlehensliste weicht ueber 10% von den Bankschulden ab</t>
        </is>
      </c>
      <c r="C36" t="inlineStr">
        <is>
          <t>WARNUNG</t>
        </is>
      </c>
      <c r="D36" s="26" t="n"/>
      <c r="E36" s="26" t="n"/>
      <c r="F36" s="26" t="n"/>
    </row>
    <row r="37">
      <c r="A37" s="4" t="inlineStr">
        <is>
          <t>VAL-07</t>
        </is>
      </c>
      <c r="B37" t="inlineStr">
        <is>
          <t>Negativer Bestand, z. B. Vorraete</t>
        </is>
      </c>
      <c r="C37" t="inlineStr">
        <is>
          <t>WARNUNG</t>
        </is>
      </c>
      <c r="D37" s="26" t="n"/>
      <c r="E37" s="26" t="n"/>
      <c r="F37" s="26" t="n"/>
    </row>
    <row r="38">
      <c r="A38" s="4" t="inlineStr">
        <is>
          <t>VAL-08</t>
        </is>
      </c>
      <c r="B38" t="inlineStr">
        <is>
          <t>Keine Darlehensliste</t>
        </is>
      </c>
      <c r="C38" t="inlineStr">
        <is>
          <t>HINWEIS, DSCR nicht bewertet, Abdeckung unter 100%</t>
        </is>
      </c>
      <c r="D38" s="26" t="n"/>
      <c r="E38" s="26" t="n"/>
      <c r="F38" s="26" t="n"/>
    </row>
    <row r="39">
      <c r="A39" s="9" t="inlineStr">
        <is>
          <t>Behebbarkeitsregeln, je ein Fall</t>
        </is>
      </c>
      <c r="B39" s="10" t="inlineStr"/>
      <c r="C39" s="11" t="n"/>
      <c r="D39" s="11" t="n"/>
      <c r="E39" s="11" t="n"/>
      <c r="F39" s="11" t="n"/>
    </row>
    <row r="40">
      <c r="A40" s="4" t="inlineStr">
        <is>
          <t>RULE-R01</t>
        </is>
      </c>
      <c r="B40" t="inlineStr">
        <is>
          <t>Gesellschafterdarlehen ohne Rangruecktritt, EK-Quote unter 20%</t>
        </is>
      </c>
      <c r="C40" t="inlineStr">
        <is>
          <t>R01, Band steigt in der Simulation</t>
        </is>
      </c>
      <c r="D40" s="26" t="n"/>
      <c r="E40" s="26" t="n"/>
      <c r="F40" s="26" t="n"/>
    </row>
    <row r="41">
      <c r="A41" s="4" t="inlineStr">
        <is>
          <t>RULE-R02</t>
        </is>
      </c>
      <c r="B41" t="inlineStr">
        <is>
          <t>BWA sieben Monate alt</t>
        </is>
      </c>
      <c r="C41" t="inlineStr">
        <is>
          <t>R02, Schweregrad wesentlich</t>
        </is>
      </c>
      <c r="D41" s="26" t="n"/>
      <c r="E41" s="26" t="n"/>
      <c r="F41" s="26" t="n"/>
    </row>
    <row r="42">
      <c r="A42" s="4" t="inlineStr">
        <is>
          <t>RULE-R03</t>
        </is>
      </c>
      <c r="B42" t="inlineStr">
        <is>
          <t>Finanzierungswunsch ab 100.000 EUR ohne Planrechnung</t>
        </is>
      </c>
      <c r="C42" t="inlineStr">
        <is>
          <t>R03</t>
        </is>
      </c>
      <c r="D42" s="26" t="n"/>
      <c r="E42" s="26" t="n"/>
      <c r="F42" s="26" t="n"/>
    </row>
    <row r="43">
      <c r="A43" s="4" t="inlineStr">
        <is>
          <t>RULE-R04</t>
        </is>
      </c>
      <c r="B43" t="inlineStr">
        <is>
          <t>KK-Auslastung 85% bei positivem EBITDA</t>
        </is>
      </c>
      <c r="C43" t="inlineStr">
        <is>
          <t>R04, nicht R08</t>
        </is>
      </c>
      <c r="D43" s="26" t="n"/>
      <c r="E43" s="26" t="n"/>
      <c r="F43" s="26" t="n"/>
    </row>
    <row r="44">
      <c r="A44" s="4" t="inlineStr">
        <is>
          <t>RULE-R05</t>
        </is>
      </c>
      <c r="B44" t="inlineStr">
        <is>
          <t>Debitorenlaufzeit 60 Tage, Forderungen ueber 50.000</t>
        </is>
      </c>
      <c r="C44" t="inlineStr">
        <is>
          <t>R05</t>
        </is>
      </c>
      <c r="D44" s="26" t="n"/>
      <c r="E44" s="26" t="n"/>
      <c r="F44" s="26" t="n"/>
    </row>
    <row r="45">
      <c r="A45" s="4" t="inlineStr">
        <is>
          <t>RULE-R06</t>
        </is>
      </c>
      <c r="B45" t="inlineStr">
        <is>
          <t>Anlagendeckungsgrad II unter 1</t>
        </is>
      </c>
      <c r="C45" t="inlineStr">
        <is>
          <t>R06</t>
        </is>
      </c>
      <c r="D45" s="26" t="n"/>
      <c r="E45" s="26" t="n"/>
      <c r="F45" s="26" t="n"/>
    </row>
    <row r="46">
      <c r="A46" s="4" t="inlineStr">
        <is>
          <t>RULE-R07</t>
        </is>
      </c>
      <c r="B46" t="inlineStr">
        <is>
          <t>DSCR ab 1,10, Sicherheiten unter 60% des Wunsches</t>
        </is>
      </c>
      <c r="C46" t="inlineStr">
        <is>
          <t>R07</t>
        </is>
      </c>
      <c r="D46" s="26" t="n"/>
      <c r="E46" s="26" t="n"/>
      <c r="F46" s="26" t="n"/>
    </row>
    <row r="47">
      <c r="A47" s="4" t="inlineStr">
        <is>
          <t>RULE-R08</t>
        </is>
      </c>
      <c r="B47" t="inlineStr">
        <is>
          <t>EBITDA negativ</t>
        </is>
      </c>
      <c r="C47" t="inlineStr">
        <is>
          <t>R08, nicht behebbar, keine Wegsimulation</t>
        </is>
      </c>
      <c r="D47" s="26" t="n"/>
      <c r="E47" s="26" t="n"/>
      <c r="F47" s="26" t="n"/>
    </row>
    <row r="48">
      <c r="A48" s="4" t="inlineStr">
        <is>
          <t>RULE-R09</t>
        </is>
      </c>
      <c r="B48" t="inlineStr">
        <is>
          <t>Steuerrueckstaende</t>
        </is>
      </c>
      <c r="C48" t="inlineStr">
        <is>
          <t>R09, kritisch, nicht behebbar</t>
        </is>
      </c>
      <c r="D48" s="26" t="n"/>
      <c r="E48" s="26" t="n"/>
      <c r="F48" s="26" t="n"/>
    </row>
    <row r="49">
      <c r="A49" s="4" t="inlineStr">
        <is>
          <t>RULE-R10</t>
        </is>
      </c>
      <c r="B49" t="inlineStr">
        <is>
          <t>Vorratsreichweite ueber 90 Tage, Vorraete ueber 50.000</t>
        </is>
      </c>
      <c r="C49" t="inlineStr">
        <is>
          <t>R10</t>
        </is>
      </c>
      <c r="D49" s="26" t="n"/>
      <c r="E49" s="26" t="n"/>
      <c r="F49" s="26" t="n"/>
    </row>
    <row r="50">
      <c r="A50" s="9" t="inlineStr">
        <is>
          <t>Bandgrenzen und Sonderfaelle</t>
        </is>
      </c>
      <c r="B50" s="10" t="inlineStr"/>
      <c r="C50" s="11" t="n"/>
      <c r="D50" s="11" t="n"/>
      <c r="E50" s="11" t="n"/>
      <c r="F50" s="11" t="n"/>
    </row>
    <row r="51">
      <c r="A51" s="4" t="inlineStr">
        <is>
          <t>BAND-01</t>
        </is>
      </c>
      <c r="B51" t="inlineStr">
        <is>
          <t>Score knapp ueber und unter 78</t>
        </is>
      </c>
      <c r="C51" t="inlineStr">
        <is>
          <t>A / B</t>
        </is>
      </c>
      <c r="D51" s="26" t="n"/>
      <c r="E51" s="26" t="n"/>
      <c r="F51" s="26" t="n"/>
    </row>
    <row r="52">
      <c r="A52" s="4" t="inlineStr">
        <is>
          <t>BAND-02</t>
        </is>
      </c>
      <c r="B52" t="inlineStr">
        <is>
          <t>Score knapp ueber und unter 65</t>
        </is>
      </c>
      <c r="C52" t="inlineStr">
        <is>
          <t>B / C</t>
        </is>
      </c>
      <c r="D52" s="26" t="n"/>
      <c r="E52" s="26" t="n"/>
      <c r="F52" s="26" t="n"/>
    </row>
    <row r="53">
      <c r="A53" s="4" t="inlineStr">
        <is>
          <t>BAND-03</t>
        </is>
      </c>
      <c r="B53" t="inlineStr">
        <is>
          <t>Score knapp ueber und unter 52</t>
        </is>
      </c>
      <c r="C53" t="inlineStr">
        <is>
          <t>C / D</t>
        </is>
      </c>
      <c r="D53" s="26" t="n"/>
      <c r="E53" s="26" t="n"/>
      <c r="F53" s="26" t="n"/>
    </row>
    <row r="54">
      <c r="A54" s="4" t="inlineStr">
        <is>
          <t>BAND-04</t>
        </is>
      </c>
      <c r="B54" t="inlineStr">
        <is>
          <t>Score knapp ueber und unter 38</t>
        </is>
      </c>
      <c r="C54" t="inlineStr">
        <is>
          <t>D / E</t>
        </is>
      </c>
      <c r="D54" s="26" t="n"/>
      <c r="E54" s="26" t="n"/>
      <c r="F54" s="26" t="n"/>
    </row>
    <row r="55">
      <c r="A55" s="4" t="inlineStr">
        <is>
          <t>BAND-05</t>
        </is>
      </c>
      <c r="B55" t="inlineStr">
        <is>
          <t>Keine Auskunft und keine Darlehen</t>
        </is>
      </c>
      <c r="C55" t="inlineStr">
        <is>
          <t>Abdeckung 75%, Renormierung korrekt</t>
        </is>
      </c>
      <c r="D55" s="26" t="n"/>
      <c r="E55" s="26" t="n"/>
      <c r="F55" s="26" t="n"/>
    </row>
    <row r="56">
      <c r="A56" s="4" t="inlineStr">
        <is>
          <t>BAND-06</t>
        </is>
      </c>
      <c r="B56" t="inlineStr">
        <is>
          <t>EBITDA null oder negativ</t>
        </is>
      </c>
      <c r="C56" t="inlineStr">
        <is>
          <t>Verschuldungsgrad mit 0 bewertet, nicht weggelassen</t>
        </is>
      </c>
      <c r="D56" s="26" t="n"/>
      <c r="E56" s="26" t="n"/>
      <c r="F56" s="26" t="n"/>
    </row>
    <row r="57">
      <c r="A57" s="9" t="inlineStr">
        <is>
          <t>KI-Pfad</t>
        </is>
      </c>
      <c r="B57" s="10" t="inlineStr"/>
      <c r="C57" s="11" t="n"/>
      <c r="D57" s="11" t="n"/>
      <c r="E57" s="11" t="n"/>
      <c r="F57" s="11" t="n"/>
    </row>
    <row r="58">
      <c r="A58" s="4" t="inlineStr">
        <is>
          <t>AI-01</t>
        </is>
      </c>
      <c r="B58" t="inlineStr">
        <is>
          <t>Keine KI-Einwilligung</t>
        </is>
      </c>
      <c r="C58" t="inlineStr">
        <is>
          <t>Dokument wird nicht uebermittelt</t>
        </is>
      </c>
      <c r="D58" s="26" t="n"/>
      <c r="E58" s="26" t="n"/>
      <c r="F58" s="26" t="n"/>
    </row>
    <row r="59">
      <c r="A59" s="4" t="inlineStr">
        <is>
          <t>AI-02</t>
        </is>
      </c>
      <c r="B59" t="inlineStr">
        <is>
          <t>KI liest eine Zahl falsch</t>
        </is>
      </c>
      <c r="C59" t="inlineStr">
        <is>
          <t>Konsistenzpruefung blockiert</t>
        </is>
      </c>
      <c r="D59" s="26" t="n"/>
      <c r="E59" s="26" t="n"/>
      <c r="F59" s="26" t="n"/>
    </row>
    <row r="60">
      <c r="A60" s="4" t="inlineStr">
        <is>
          <t>AI-03</t>
        </is>
      </c>
      <c r="B60" t="inlineStr">
        <is>
          <t>Nutzer korrigiert eine Zahl</t>
        </is>
      </c>
      <c r="C60" t="inlineStr">
        <is>
          <t>Der korrigierte Wert wird gerechnet</t>
        </is>
      </c>
      <c r="D60" s="26" t="n"/>
      <c r="E60" s="26" t="n"/>
      <c r="F60" s="26" t="n"/>
    </row>
    <row r="61">
      <c r="A61" s="4" t="inlineStr">
        <is>
          <t>AI-04</t>
        </is>
      </c>
      <c r="B61" t="inlineStr">
        <is>
          <t>Frage: Werde ich genehmigt?</t>
        </is>
      </c>
      <c r="C61" t="inlineStr">
        <is>
          <t>Leitplanke greift, Vorlagentext</t>
        </is>
      </c>
      <c r="D61" s="26" t="n"/>
      <c r="E61" s="26" t="n"/>
      <c r="F61" s="26" t="n"/>
    </row>
    <row r="62">
      <c r="A62" s="4" t="inlineStr">
        <is>
          <t>AI-05</t>
        </is>
      </c>
      <c r="B62" t="inlineStr">
        <is>
          <t>Frage nach der Ausfallwahrscheinlichkeit</t>
        </is>
      </c>
      <c r="C62" t="inlineStr">
        <is>
          <t>Leitplanke greift</t>
        </is>
      </c>
      <c r="D62" s="26" t="n"/>
      <c r="E62" s="26" t="n"/>
      <c r="F62" s="26" t="n"/>
    </row>
    <row r="63">
      <c r="A63" s="4" t="inlineStr">
        <is>
          <t>AI-06</t>
        </is>
      </c>
      <c r="B63" t="inlineStr">
        <is>
          <t>PDF mit eingebetteten Anweisungen</t>
        </is>
      </c>
      <c r="C63" t="inlineStr">
        <is>
          <t>Als Daten behandelt, nicht befolgt</t>
        </is>
      </c>
      <c r="D63" s="26" t="n"/>
      <c r="E63" s="26" t="n"/>
      <c r="F63" s="26" t="n"/>
    </row>
    <row r="64">
      <c r="A64" s="4" t="inlineStr">
        <is>
          <t>AI-07</t>
        </is>
      </c>
      <c r="B64" t="inlineStr">
        <is>
          <t>KI-Protokoll</t>
        </is>
      </c>
      <c r="C64" t="inlineStr">
        <is>
          <t>Nur Hash, kein Inhalt gespeichert</t>
        </is>
      </c>
      <c r="D64" s="26" t="n"/>
      <c r="E64" s="26" t="n"/>
      <c r="F64" s="26" t="n"/>
    </row>
    <row r="65">
      <c r="A65" s="4" t="inlineStr">
        <is>
          <t>AI-08</t>
        </is>
      </c>
      <c r="B65" t="inlineStr">
        <is>
          <t>KI-Dienst nicht erreichbar</t>
        </is>
      </c>
      <c r="C65" t="inlineStr">
        <is>
          <t>Vorlagentext, Seite funktioniert weiter</t>
        </is>
      </c>
      <c r="D65" s="26" t="n"/>
      <c r="E65" s="26" t="n"/>
      <c r="F65" s="26" t="n"/>
    </row>
    <row r="66">
      <c r="A66" s="9" t="inlineStr">
        <is>
          <t>Rechte und Sicherheit</t>
        </is>
      </c>
      <c r="B66" s="10" t="inlineStr"/>
      <c r="C66" s="11" t="n"/>
      <c r="D66" s="11" t="n"/>
      <c r="E66" s="11" t="n"/>
      <c r="F66" s="11" t="n"/>
    </row>
    <row r="67">
      <c r="A67" s="4" t="inlineStr">
        <is>
          <t>SEC-01</t>
        </is>
      </c>
      <c r="B67" t="inlineStr">
        <is>
          <t>Fremden Fall ueber die URL aufrufen</t>
        </is>
      </c>
      <c r="C67" t="inlineStr">
        <is>
          <t>404, kein Datenabfluss</t>
        </is>
      </c>
      <c r="D67" s="26" t="n"/>
      <c r="E67" s="26" t="n"/>
      <c r="F67" s="26" t="n"/>
    </row>
    <row r="68">
      <c r="A68" s="4" t="inlineStr">
        <is>
          <t>SEC-02</t>
        </is>
      </c>
      <c r="B68" t="inlineStr">
        <is>
          <t>Steuerberater ruft den Fragebogen des Unternehmens auf</t>
        </is>
      </c>
      <c r="C68" t="inlineStr">
        <is>
          <t>Nicht sichtbar</t>
        </is>
      </c>
      <c r="D68" s="26" t="n"/>
      <c r="E68" s="26" t="n"/>
      <c r="F68" s="26" t="n"/>
    </row>
    <row r="69">
      <c r="A69" s="4" t="inlineStr">
        <is>
          <t>SEC-03</t>
        </is>
      </c>
      <c r="B69" t="inlineStr">
        <is>
          <t>Bericht vor der Freigabe</t>
        </is>
      </c>
      <c r="C69" t="inlineStr">
        <is>
          <t>Fuer das Unternehmen nicht sichtbar</t>
        </is>
      </c>
      <c r="D69" s="26" t="n"/>
      <c r="E69" s="26" t="n"/>
      <c r="F69" s="26" t="n"/>
    </row>
    <row r="70">
      <c r="A70" s="4" t="inlineStr">
        <is>
          <t>SEC-04</t>
        </is>
      </c>
      <c r="B70" t="inlineStr">
        <is>
          <t>Konto loeschen</t>
        </is>
      </c>
      <c r="C70" t="inlineStr">
        <is>
          <t>Faelle, Dokumente und Zugang entfernt</t>
        </is>
      </c>
      <c r="D70" s="26" t="n"/>
      <c r="E70" s="26" t="n"/>
      <c r="F70" s="26" t="n"/>
    </row>
    <row r="71">
      <c r="A71" s="4" t="inlineStr">
        <is>
          <t>SEC-05</t>
        </is>
      </c>
      <c r="B71" t="inlineStr">
        <is>
          <t>Zehn Fehlanmeldungen</t>
        </is>
      </c>
      <c r="C71" t="inlineStr">
        <is>
          <t>Sperre greift</t>
        </is>
      </c>
      <c r="D71" s="26" t="n"/>
      <c r="E71" s="26" t="n"/>
      <c r="F71" s="26" t="n"/>
    </row>
    <row r="72">
      <c r="A72" s="4" t="inlineStr">
        <is>
          <t>SEC-06</t>
        </is>
      </c>
      <c r="B72" t="inlineStr">
        <is>
          <t>Upload einer .exe oder sehr grossen Datei</t>
        </is>
      </c>
      <c r="C72" t="inlineStr">
        <is>
          <t>Abgelehnt</t>
        </is>
      </c>
      <c r="D72" s="26" t="n"/>
      <c r="E72" s="26" t="n"/>
      <c r="F72" s="26" t="n"/>
    </row>
    <row r="73">
      <c r="A73" s="4" t="inlineStr">
        <is>
          <t>SEC-07</t>
        </is>
      </c>
      <c r="B73" t="inlineStr">
        <is>
          <t>Abmelden</t>
        </is>
      </c>
      <c r="C73" t="inlineStr">
        <is>
          <t>Sitzung ungueltig, Cookie HttpOnly</t>
        </is>
      </c>
      <c r="D73" s="26" t="n"/>
      <c r="E73" s="26" t="n"/>
      <c r="F73" s="26" t="n"/>
    </row>
    <row r="74">
      <c r="A74" s="9" t="inlineStr">
        <is>
          <t>Bedienung und Darstellung</t>
        </is>
      </c>
      <c r="B74" s="10" t="inlineStr"/>
      <c r="C74" s="11" t="n"/>
      <c r="D74" s="11" t="n"/>
      <c r="E74" s="11" t="n"/>
      <c r="F74" s="11" t="n"/>
    </row>
    <row r="75">
      <c r="A75" s="4" t="inlineStr">
        <is>
          <t>UX-01</t>
        </is>
      </c>
      <c r="B75" t="inlineStr">
        <is>
          <t>Kompletter Gratis-Check auf dem Handy</t>
        </is>
      </c>
      <c r="C75" t="inlineStr">
        <is>
          <t>Ohne Hilfe durchfuehrbar</t>
        </is>
      </c>
      <c r="D75" s="26" t="n"/>
      <c r="E75" s="26" t="n"/>
      <c r="F75" s="26" t="n"/>
    </row>
    <row r="76">
      <c r="A76" s="4" t="inlineStr">
        <is>
          <t>UX-02</t>
        </is>
      </c>
      <c r="B76" t="inlineStr">
        <is>
          <t>Sprachumschaltung DE/EN</t>
        </is>
      </c>
      <c r="C76" t="inlineStr">
        <is>
          <t>Keine deutschen Reste im englischen Modus</t>
        </is>
      </c>
      <c r="D76" s="26" t="n"/>
      <c r="E76" s="26" t="n"/>
      <c r="F76" s="26" t="n"/>
    </row>
    <row r="77">
      <c r="A77" s="4" t="inlineStr">
        <is>
          <t>UX-03</t>
        </is>
      </c>
      <c r="B77" t="inlineStr">
        <is>
          <t>Deutsches Zahlenformat</t>
        </is>
      </c>
      <c r="C77" t="inlineStr">
        <is>
          <t>In jedem Kundendokument</t>
        </is>
      </c>
      <c r="D77" s="26" t="n"/>
      <c r="E77" s="26" t="n"/>
      <c r="F77" s="26" t="n"/>
    </row>
    <row r="78">
      <c r="A78" s="4" t="inlineStr">
        <is>
          <t>UX-04</t>
        </is>
      </c>
      <c r="B78" t="inlineStr">
        <is>
          <t>Umlaute in Briefen und Bericht</t>
        </is>
      </c>
      <c r="C78" t="inlineStr">
        <is>
          <t>Korrekt dargestellt</t>
        </is>
      </c>
      <c r="D78" s="26" t="n"/>
      <c r="E78" s="26" t="n"/>
      <c r="F78" s="26" t="n"/>
    </row>
    <row r="79">
      <c r="A79" s="4" t="inlineStr">
        <is>
          <t>UX-05</t>
        </is>
      </c>
      <c r="B79" t="inlineStr">
        <is>
          <t>Seite mitten im Ablauf neu laden</t>
        </is>
      </c>
      <c r="C79" t="inlineStr">
        <is>
          <t>Fortschritt bleibt erhalten</t>
        </is>
      </c>
      <c r="D79" s="26" t="n"/>
      <c r="E79" s="26" t="n"/>
      <c r="F79" s="26" t="n"/>
    </row>
    <row r="80">
      <c r="A80" s="4" t="inlineStr">
        <is>
          <t>UX-06</t>
        </is>
      </c>
      <c r="B80" t="inlineStr">
        <is>
          <t>Bericht drucken</t>
        </is>
      </c>
      <c r="C80" t="inlineStr">
        <is>
          <t>Sauberer Umbruch, Hinweis auf jeder Seite</t>
        </is>
      </c>
      <c r="D80" s="26" t="n"/>
      <c r="E80" s="26" t="n"/>
      <c r="F80" s="26" t="n"/>
    </row>
    <row r="81">
      <c r="A81" s="4" t="inlineStr">
        <is>
          <t>UX-07</t>
        </is>
      </c>
      <c r="B81" t="inlineStr">
        <is>
          <t>Echter Unternehmer testet ohne Erklaerung</t>
        </is>
      </c>
      <c r="C81" t="inlineStr">
        <is>
          <t>Kommt allein durch - der eigentliche Test</t>
        </is>
      </c>
      <c r="D81" s="26" t="n"/>
      <c r="E81" s="26" t="n"/>
      <c r="F81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2026-09-20T19:38:56Z</dcterms:created>
  <dcterms:modified xsi:type="dcterms:W3CDTF">2026-09-20T19:38:56Z</dcterms:modified>
</cp:coreProperties>
</file>